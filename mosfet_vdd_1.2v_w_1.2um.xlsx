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b728f7a3647451/Área de Trabalho/D/Análises/"/>
    </mc:Choice>
  </mc:AlternateContent>
  <xr:revisionPtr revIDLastSave="4144" documentId="8_{F339A47A-0B6E-4D43-AFA0-CDCAE991A0AD}" xr6:coauthVersionLast="47" xr6:coauthVersionMax="47" xr10:uidLastSave="{FDC0A128-7567-42D5-898A-E9376A78E6E2}"/>
  <bookViews>
    <workbookView xWindow="-120" yWindow="-120" windowWidth="29040" windowHeight="15720" activeTab="5" xr2:uid="{E9A98374-F670-4851-B5FD-4ABF307F60E8}"/>
  </bookViews>
  <sheets>
    <sheet name="l_60nm" sheetId="1" r:id="rId1"/>
    <sheet name="l_90nm" sheetId="6" r:id="rId2"/>
    <sheet name="l_120nm" sheetId="2" r:id="rId3"/>
    <sheet name="l_240nm" sheetId="3" r:id="rId4"/>
    <sheet name="l_300nm" sheetId="4" r:id="rId5"/>
    <sheet name="l_600n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O3" i="4"/>
  <c r="O4" i="4"/>
  <c r="O5" i="4"/>
  <c r="O6" i="4"/>
  <c r="O7" i="4"/>
  <c r="O8" i="4"/>
  <c r="O9" i="4"/>
  <c r="O10" i="4"/>
  <c r="O11" i="4"/>
  <c r="O12" i="4"/>
  <c r="O13" i="4"/>
  <c r="AC3" i="5"/>
  <c r="AC4" i="5"/>
  <c r="AC5" i="5"/>
  <c r="AC6" i="5"/>
  <c r="AC7" i="5"/>
  <c r="AC8" i="5"/>
  <c r="AC9" i="5"/>
  <c r="AC10" i="5"/>
  <c r="AC11" i="5"/>
  <c r="AC12" i="5"/>
  <c r="AC13" i="5"/>
  <c r="AC2" i="5"/>
  <c r="O3" i="5"/>
  <c r="O4" i="5"/>
  <c r="O5" i="5"/>
  <c r="O6" i="5"/>
  <c r="O7" i="5"/>
  <c r="O8" i="5"/>
  <c r="O9" i="5"/>
  <c r="O10" i="5"/>
  <c r="O11" i="5"/>
  <c r="O12" i="5"/>
  <c r="O13" i="5"/>
  <c r="O2" i="5"/>
  <c r="AC3" i="4"/>
  <c r="AC4" i="4"/>
  <c r="AC5" i="4"/>
  <c r="AC6" i="4"/>
  <c r="AC7" i="4"/>
  <c r="AC8" i="4"/>
  <c r="AC9" i="4"/>
  <c r="AC10" i="4"/>
  <c r="AC11" i="4"/>
  <c r="AC12" i="4"/>
  <c r="AC13" i="4"/>
  <c r="AC2" i="4"/>
  <c r="AC2" i="3"/>
  <c r="O2" i="3"/>
  <c r="AC3" i="3"/>
  <c r="AC4" i="3"/>
  <c r="AC5" i="3"/>
  <c r="AC6" i="3"/>
  <c r="AC7" i="3"/>
  <c r="AC8" i="3"/>
  <c r="AC9" i="3"/>
  <c r="AC10" i="3"/>
  <c r="AC11" i="3"/>
  <c r="AC12" i="3"/>
  <c r="AC13" i="3"/>
  <c r="AC3" i="2"/>
  <c r="AC4" i="2"/>
  <c r="AC5" i="2"/>
  <c r="AC6" i="2"/>
  <c r="AC7" i="2"/>
  <c r="AC8" i="2"/>
  <c r="AC9" i="2"/>
  <c r="AC10" i="2"/>
  <c r="AC11" i="2"/>
  <c r="AC12" i="2"/>
  <c r="AC13" i="2"/>
  <c r="AC2" i="2"/>
  <c r="AC3" i="6"/>
  <c r="AC4" i="6"/>
  <c r="AC5" i="6"/>
  <c r="AC6" i="6"/>
  <c r="AC7" i="6"/>
  <c r="AC8" i="6"/>
  <c r="AC9" i="6"/>
  <c r="AC10" i="6"/>
  <c r="AC11" i="6"/>
  <c r="AC12" i="6"/>
  <c r="AC13" i="6"/>
  <c r="AC2" i="6"/>
  <c r="AC3" i="1"/>
  <c r="AC4" i="1"/>
  <c r="AC5" i="1"/>
  <c r="AC6" i="1"/>
  <c r="AC7" i="1"/>
  <c r="AC8" i="1"/>
  <c r="AC9" i="1"/>
  <c r="AC10" i="1"/>
  <c r="AC11" i="1"/>
  <c r="AC12" i="1"/>
  <c r="AC13" i="1"/>
  <c r="AC2" i="1"/>
  <c r="O3" i="1"/>
  <c r="O4" i="1"/>
  <c r="O5" i="1"/>
  <c r="O6" i="1"/>
  <c r="O7" i="1"/>
  <c r="O8" i="1"/>
  <c r="O9" i="1"/>
  <c r="O10" i="1"/>
  <c r="O11" i="1"/>
  <c r="O12" i="1"/>
  <c r="O13" i="1"/>
  <c r="O2" i="1"/>
  <c r="O13" i="6"/>
  <c r="O12" i="6"/>
  <c r="O11" i="6"/>
  <c r="O10" i="6"/>
  <c r="O9" i="6"/>
  <c r="O8" i="6"/>
  <c r="O7" i="6"/>
  <c r="O6" i="6"/>
  <c r="O5" i="6"/>
  <c r="O4" i="6"/>
  <c r="O3" i="6"/>
  <c r="O2" i="6"/>
  <c r="O13" i="2"/>
  <c r="O12" i="2"/>
  <c r="O11" i="2"/>
  <c r="O10" i="2"/>
  <c r="O9" i="2"/>
  <c r="O8" i="2"/>
  <c r="O7" i="2"/>
  <c r="O6" i="2"/>
  <c r="O5" i="2"/>
  <c r="O4" i="2"/>
  <c r="O3" i="2"/>
  <c r="O2" i="2"/>
  <c r="O13" i="3"/>
  <c r="O12" i="3"/>
  <c r="O11" i="3"/>
  <c r="O10" i="3"/>
  <c r="O9" i="3"/>
  <c r="O8" i="3"/>
  <c r="O7" i="3"/>
  <c r="O6" i="3"/>
  <c r="O5" i="3"/>
  <c r="O4" i="3"/>
  <c r="O3" i="3"/>
  <c r="AB6" i="5"/>
  <c r="N6" i="5"/>
  <c r="AB6" i="4"/>
  <c r="N6" i="4"/>
  <c r="AB6" i="3"/>
  <c r="N6" i="3"/>
  <c r="AB6" i="2"/>
  <c r="N6" i="2"/>
  <c r="AB6" i="6"/>
  <c r="N6" i="6"/>
  <c r="N7" i="6"/>
  <c r="N6" i="1"/>
  <c r="AB6" i="1"/>
  <c r="C17" i="2"/>
  <c r="C17" i="6"/>
  <c r="AB4" i="1"/>
  <c r="AB5" i="1"/>
  <c r="AB7" i="1"/>
  <c r="AB8" i="1"/>
  <c r="AB12" i="1"/>
  <c r="AB13" i="1"/>
  <c r="C17" i="1"/>
  <c r="AB2" i="1"/>
  <c r="AB3" i="1"/>
  <c r="AB9" i="1"/>
  <c r="AB10" i="1"/>
  <c r="AB11" i="1"/>
  <c r="N2" i="1"/>
  <c r="N3" i="1"/>
  <c r="N4" i="1"/>
  <c r="N5" i="1"/>
  <c r="N7" i="1"/>
  <c r="N8" i="1"/>
  <c r="N9" i="1"/>
  <c r="N10" i="1"/>
  <c r="N11" i="1"/>
  <c r="N12" i="1"/>
  <c r="N13" i="1"/>
  <c r="N4" i="5"/>
  <c r="AB4" i="5"/>
  <c r="N4" i="4"/>
  <c r="AB4" i="4"/>
  <c r="N4" i="3"/>
  <c r="AB4" i="3"/>
  <c r="N4" i="2"/>
  <c r="AB4" i="2"/>
  <c r="AB4" i="6"/>
  <c r="N13" i="6"/>
  <c r="N12" i="6"/>
  <c r="N11" i="6"/>
  <c r="AB11" i="6"/>
  <c r="N10" i="6"/>
  <c r="N9" i="6"/>
  <c r="AB9" i="6"/>
  <c r="N8" i="6"/>
  <c r="AB8" i="6"/>
  <c r="AB7" i="6"/>
  <c r="N5" i="6"/>
  <c r="AB5" i="6"/>
  <c r="AB3" i="6"/>
  <c r="N2" i="6"/>
  <c r="N2" i="5"/>
  <c r="N3" i="5"/>
  <c r="N5" i="5"/>
  <c r="N7" i="5"/>
  <c r="N8" i="5"/>
  <c r="N9" i="5"/>
  <c r="N10" i="5"/>
  <c r="N11" i="5"/>
  <c r="N12" i="5"/>
  <c r="N13" i="5"/>
  <c r="C17" i="5"/>
  <c r="AB2" i="5"/>
  <c r="AB3" i="5"/>
  <c r="AB5" i="5"/>
  <c r="AB7" i="5"/>
  <c r="AB9" i="5"/>
  <c r="AB10" i="5"/>
  <c r="AB11" i="5"/>
  <c r="AB12" i="5"/>
  <c r="AB13" i="5"/>
  <c r="N2" i="4"/>
  <c r="N3" i="4"/>
  <c r="N5" i="4"/>
  <c r="N7" i="4"/>
  <c r="N8" i="4"/>
  <c r="N9" i="4"/>
  <c r="N10" i="4"/>
  <c r="N12" i="4"/>
  <c r="N13" i="4"/>
  <c r="C17" i="4"/>
  <c r="AB2" i="4"/>
  <c r="AB3" i="4"/>
  <c r="AB5" i="4"/>
  <c r="AB7" i="4"/>
  <c r="AB8" i="4"/>
  <c r="AB9" i="4"/>
  <c r="AB10" i="4"/>
  <c r="AB11" i="4"/>
  <c r="AB12" i="4"/>
  <c r="AB13" i="4"/>
  <c r="N2" i="3"/>
  <c r="N3" i="3"/>
  <c r="N5" i="3"/>
  <c r="N7" i="3"/>
  <c r="N8" i="3"/>
  <c r="N9" i="3"/>
  <c r="N10" i="3"/>
  <c r="N11" i="3"/>
  <c r="N12" i="3"/>
  <c r="N13" i="3"/>
  <c r="C17" i="3"/>
  <c r="AB2" i="3"/>
  <c r="AB3" i="3"/>
  <c r="AB5" i="3"/>
  <c r="AB7" i="3"/>
  <c r="AB8" i="3"/>
  <c r="AB9" i="3"/>
  <c r="AB10" i="3"/>
  <c r="AB11" i="3"/>
  <c r="AB12" i="3"/>
  <c r="AB13" i="3"/>
  <c r="N2" i="2"/>
  <c r="N3" i="2"/>
  <c r="N5" i="2"/>
  <c r="N7" i="2"/>
  <c r="N8" i="2"/>
  <c r="N9" i="2"/>
  <c r="N10" i="2"/>
  <c r="N11" i="2"/>
  <c r="N13" i="2"/>
  <c r="AB2" i="2"/>
  <c r="AB3" i="2"/>
  <c r="AB5" i="2"/>
  <c r="AB7" i="2"/>
  <c r="AB8" i="2"/>
  <c r="AB9" i="2"/>
  <c r="AB10" i="2"/>
  <c r="AB11" i="2"/>
  <c r="AB12" i="2"/>
  <c r="AB13" i="2"/>
  <c r="N4" i="6" l="1"/>
  <c r="AB13" i="6"/>
  <c r="AB2" i="6"/>
  <c r="AB12" i="6"/>
  <c r="AB10" i="6"/>
  <c r="N3" i="6"/>
  <c r="AB8" i="5"/>
  <c r="N11" i="4"/>
  <c r="N12" i="2"/>
</calcChain>
</file>

<file path=xl/sharedStrings.xml><?xml version="1.0" encoding="utf-8"?>
<sst xmlns="http://schemas.openxmlformats.org/spreadsheetml/2006/main" count="438" uniqueCount="47">
  <si>
    <t>k</t>
  </si>
  <si>
    <t>Id</t>
  </si>
  <si>
    <t>Vgs</t>
  </si>
  <si>
    <t>Vth</t>
  </si>
  <si>
    <t>Vds</t>
  </si>
  <si>
    <t>Vdsat</t>
  </si>
  <si>
    <t>Cds</t>
  </si>
  <si>
    <t>Cgs</t>
  </si>
  <si>
    <t>gds</t>
  </si>
  <si>
    <t>gm</t>
  </si>
  <si>
    <t>gm/gds</t>
  </si>
  <si>
    <t>gm/Id</t>
  </si>
  <si>
    <t>ft</t>
  </si>
  <si>
    <t>W</t>
  </si>
  <si>
    <t>L</t>
  </si>
  <si>
    <t>W/L</t>
  </si>
  <si>
    <t>[25]</t>
  </si>
  <si>
    <t>[26]</t>
  </si>
  <si>
    <t>[27]</t>
  </si>
  <si>
    <t>[28]</t>
  </si>
  <si>
    <t>[0]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</si>
  <si>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</si>
  <si>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</si>
  <si>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</si>
  <si>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</si>
  <si>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</si>
  <si>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</si>
  <si>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</si>
  <si>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</si>
  <si>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</si>
  <si>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</si>
  <si>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</si>
  <si>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</si>
  <si>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</si>
  <si>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</si>
  <si>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</si>
  <si>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</si>
  <si>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</si>
  <si>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</si>
  <si>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</si>
  <si>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</si>
  <si>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</si>
  <si>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</si>
  <si>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</si>
  <si>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</si>
  <si>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Cgd</t>
  </si>
  <si>
    <t>Id/W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</si>
</sst>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/>
    <xf numFmtId="11" fontId="0" fillId="2" borderId="0" xfId="0" applyNumberFormat="1" applyFill="1"/>
    <xf numFmtId="11" fontId="1" fillId="0" borderId="0" xfId="0" applyNumberFormat="1" applyFont="1" applyAlignment="1">
      <alignment horizontal="center"/>
    </xf>
    <xf numFmtId="11" fontId="2" fillId="2" borderId="0" xfId="0" applyNumberFormat="1" applyFont="1" applyFill="1"/>
    <xf numFmtId="0" fontId="0" fillId="0" borderId="0" xfId="0" applyFill="1"/>
    <xf numFmtId="11" fontId="0" fillId="0" borderId="0" xfId="0" applyNumberFormat="1" applyFill="1"/>
    <xf numFmtId="1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D254-015F-4BDD-B743-FC54331A5BE7}">
  <dimension ref="A1:AK21"/>
  <sheetViews>
    <sheetView zoomScale="85" zoomScaleNormal="85" workbookViewId="0">
      <selection activeCell="O2" sqref="O2:O13"/>
    </sheetView>
  </sheetViews>
  <sheetFormatPr defaultRowHeight="15" x14ac:dyDescent="0.25"/>
  <cols>
    <col min="1" max="1" width="8.5703125" customWidth="1"/>
    <col min="2" max="5" width="8.85546875" customWidth="1"/>
    <col min="6" max="6" width="9" customWidth="1"/>
    <col min="7" max="7" width="8.42578125" customWidth="1"/>
    <col min="8" max="8" width="8.85546875" customWidth="1"/>
    <col min="20" max="20" width="8.7109375" customWidth="1"/>
    <col min="21" max="21" width="8.28515625" customWidth="1"/>
    <col min="22" max="22" width="8.5703125" customWidth="1"/>
    <col min="34" max="34" width="10" bestFit="1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45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10</v>
      </c>
      <c r="N1" s="3" t="s">
        <v>12</v>
      </c>
      <c r="O1" s="3" t="s">
        <v>46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45</v>
      </c>
      <c r="W1" s="3" t="s">
        <v>7</v>
      </c>
      <c r="X1" s="3" t="s">
        <v>8</v>
      </c>
      <c r="Y1" s="3" t="s">
        <v>9</v>
      </c>
      <c r="Z1" s="3" t="s">
        <v>11</v>
      </c>
      <c r="AA1" s="3" t="s">
        <v>10</v>
      </c>
      <c r="AB1" s="3" t="s">
        <v>12</v>
      </c>
      <c r="AC1" s="3" t="s">
        <v>46</v>
      </c>
    </row>
    <row r="2" spans="1:37" x14ac:dyDescent="0.25">
      <c r="A2" s="5">
        <v>1</v>
      </c>
      <c r="B2" s="6">
        <v>1.3598500000000001E-4</v>
      </c>
      <c r="C2" s="6">
        <v>0.53062827300000004</v>
      </c>
      <c r="D2" s="6">
        <v>0.416820774</v>
      </c>
      <c r="E2" s="6">
        <v>0.53062827300000004</v>
      </c>
      <c r="F2" s="6">
        <v>0.135433726</v>
      </c>
      <c r="G2" s="6">
        <v>3.0800000000000002E-19</v>
      </c>
      <c r="H2" s="6">
        <v>2.8985781281553498E-16</v>
      </c>
      <c r="I2" s="6">
        <v>7.1900000000000005E-16</v>
      </c>
      <c r="J2" s="6">
        <v>1.30872E-4</v>
      </c>
      <c r="K2" s="6">
        <v>9.6997399999999997E-4</v>
      </c>
      <c r="L2" s="6">
        <v>7.1329511800000001</v>
      </c>
      <c r="M2" s="6">
        <v>7.4116020020000004</v>
      </c>
      <c r="N2" s="6">
        <f t="shared" ref="N2:N13" si="0">K2/(2*PI()*I2)</f>
        <v>214709536537.71637</v>
      </c>
      <c r="O2" s="6">
        <f>B2/$A$17</f>
        <v>113.32083333333334</v>
      </c>
      <c r="P2" s="6">
        <v>-1.35978109458803E-4</v>
      </c>
      <c r="Q2" s="6">
        <v>-0.66937172720704397</v>
      </c>
      <c r="R2" s="6">
        <v>-0.37431689900623399</v>
      </c>
      <c r="S2" s="6">
        <v>-0.66937172720704397</v>
      </c>
      <c r="T2" s="6">
        <v>-0.24586964221549401</v>
      </c>
      <c r="U2" s="6">
        <v>1.6122090183515899E-19</v>
      </c>
      <c r="V2" s="6">
        <v>2.3854242852083698E-16</v>
      </c>
      <c r="W2" s="6">
        <v>7.3357140235072104E-16</v>
      </c>
      <c r="X2" s="6">
        <v>9.2071145990132397E-5</v>
      </c>
      <c r="Y2" s="6">
        <v>6.4267250353284297E-4</v>
      </c>
      <c r="Z2" s="6">
        <v>4.726287428</v>
      </c>
      <c r="AA2" s="6">
        <v>6.9801727419999997</v>
      </c>
      <c r="AB2" s="6">
        <f t="shared" ref="AB2:AB13" si="1">Y2/(2*PI()*W2)</f>
        <v>139433605779.51379</v>
      </c>
      <c r="AC2" s="6">
        <f>ABS(P2)/$A$17</f>
        <v>113.31509121566917</v>
      </c>
      <c r="AD2" s="2" t="s">
        <v>20</v>
      </c>
      <c r="AE2" s="1"/>
      <c r="AF2" s="1"/>
      <c r="AG2" s="1"/>
      <c r="AH2" s="1"/>
      <c r="AI2" s="1"/>
      <c r="AJ2" s="1"/>
      <c r="AK2" s="1"/>
    </row>
    <row r="3" spans="1:37" x14ac:dyDescent="0.25">
      <c r="A3">
        <v>2</v>
      </c>
      <c r="B3" s="1">
        <v>1.99166E-4</v>
      </c>
      <c r="C3" s="1">
        <v>0.58268984000000001</v>
      </c>
      <c r="D3" s="1">
        <v>0.41366597999999999</v>
      </c>
      <c r="E3" s="1">
        <v>0.58268984000000001</v>
      </c>
      <c r="F3" s="1">
        <v>0.16144075699999999</v>
      </c>
      <c r="G3" s="1">
        <v>2.45E-19</v>
      </c>
      <c r="H3" s="1">
        <v>2.8853975712904802E-16</v>
      </c>
      <c r="I3" s="1">
        <v>7.4399999999999996E-16</v>
      </c>
      <c r="J3" s="1">
        <v>1.5901000000000001E-4</v>
      </c>
      <c r="K3" s="1">
        <v>1.164305E-3</v>
      </c>
      <c r="L3" s="1">
        <v>5.8459081199999998</v>
      </c>
      <c r="M3" s="1">
        <v>7.3222109199999998</v>
      </c>
      <c r="N3" s="1">
        <f t="shared" si="0"/>
        <v>249065720452.43176</v>
      </c>
      <c r="O3" s="10">
        <f t="shared" ref="O3:O13" si="2">B3/$A$17</f>
        <v>165.97166666666666</v>
      </c>
      <c r="P3" s="1">
        <v>-1.9916679130827899E-4</v>
      </c>
      <c r="Q3" s="1">
        <v>-0.61731016047675502</v>
      </c>
      <c r="R3" s="1">
        <v>-0.376871465457851</v>
      </c>
      <c r="S3" s="1">
        <v>-0.61731016047675502</v>
      </c>
      <c r="T3" s="1">
        <v>-0.210765550424481</v>
      </c>
      <c r="U3" s="1">
        <v>4.1491738307280398E-19</v>
      </c>
      <c r="V3" s="1">
        <v>4.7325410203703903E-16</v>
      </c>
      <c r="W3" s="1">
        <v>1.41919157829993E-15</v>
      </c>
      <c r="X3" s="1">
        <v>1.5437016225306401E-4</v>
      </c>
      <c r="Y3" s="1">
        <v>1.1335083290937901E-3</v>
      </c>
      <c r="Z3" s="1">
        <v>5.6912434330000004</v>
      </c>
      <c r="AA3" s="1">
        <v>7.3427941810000004</v>
      </c>
      <c r="AB3" s="1">
        <f t="shared" si="1"/>
        <v>127117054786.37312</v>
      </c>
      <c r="AC3" s="10">
        <f t="shared" ref="AC3:AC13" si="3">ABS(P3)/$A$17</f>
        <v>165.97232609023249</v>
      </c>
      <c r="AD3" s="2" t="s">
        <v>21</v>
      </c>
      <c r="AE3" s="1"/>
      <c r="AF3" s="1"/>
      <c r="AG3" s="1"/>
      <c r="AH3" s="1"/>
      <c r="AI3" s="1"/>
      <c r="AJ3" s="1"/>
      <c r="AK3" s="1"/>
    </row>
    <row r="4" spans="1:37" x14ac:dyDescent="0.25">
      <c r="A4" s="5">
        <v>2.625</v>
      </c>
      <c r="B4" s="6">
        <v>2.2650299456824499E-4</v>
      </c>
      <c r="C4" s="6">
        <v>0.60276927233590105</v>
      </c>
      <c r="D4" s="6">
        <v>0.41245218181626597</v>
      </c>
      <c r="E4" s="6">
        <v>0.60276927233590105</v>
      </c>
      <c r="F4" s="6">
        <v>0.171667143995027</v>
      </c>
      <c r="G4" s="6">
        <v>2.2281581235031298E-19</v>
      </c>
      <c r="H4" s="6">
        <v>2.8814475114207601E-16</v>
      </c>
      <c r="I4" s="6">
        <v>7.5070251442863997E-16</v>
      </c>
      <c r="J4" s="6">
        <v>1.69328659380438E-4</v>
      </c>
      <c r="K4" s="6">
        <v>1.23142868862734E-3</v>
      </c>
      <c r="L4" s="6">
        <v>5.43669613308567</v>
      </c>
      <c r="M4" s="6">
        <v>7.2724173989982104</v>
      </c>
      <c r="N4" s="6">
        <f>K4/(2*PI()*I4)</f>
        <v>261072740657.30035</v>
      </c>
      <c r="O4" s="6">
        <f t="shared" si="2"/>
        <v>188.75249547353749</v>
      </c>
      <c r="P4" s="6">
        <v>-2.26502523761962E-4</v>
      </c>
      <c r="Q4" s="6">
        <v>-0.59723072766409802</v>
      </c>
      <c r="R4" s="6">
        <v>-0.378415390698354</v>
      </c>
      <c r="S4" s="6">
        <v>-0.59723072766409802</v>
      </c>
      <c r="T4" s="6">
        <v>-0.19707490953630699</v>
      </c>
      <c r="U4" s="6">
        <v>5.9690319070283398E-19</v>
      </c>
      <c r="V4" s="6">
        <v>6.20575775924175E-16</v>
      </c>
      <c r="W4" s="6">
        <v>1.83622912499717E-15</v>
      </c>
      <c r="X4" s="6">
        <v>1.85804841862861E-4</v>
      </c>
      <c r="Y4" s="6">
        <v>1.3907362450235499E-3</v>
      </c>
      <c r="Z4" s="6">
        <v>6.1400382305594299</v>
      </c>
      <c r="AA4" s="6">
        <v>7.4849300539219801</v>
      </c>
      <c r="AB4" s="6">
        <f>Y4/(2*PI()*W4)</f>
        <v>120541900201.53419</v>
      </c>
      <c r="AC4" s="6">
        <f t="shared" si="3"/>
        <v>188.75210313496834</v>
      </c>
      <c r="AD4" s="2" t="s">
        <v>22</v>
      </c>
      <c r="AE4" s="1"/>
      <c r="AF4" s="1"/>
      <c r="AG4" s="1"/>
      <c r="AH4" s="1"/>
      <c r="AI4" s="1"/>
      <c r="AJ4" s="1"/>
      <c r="AK4" s="1"/>
    </row>
    <row r="5" spans="1:37" x14ac:dyDescent="0.25">
      <c r="A5">
        <v>3</v>
      </c>
      <c r="B5" s="1">
        <v>2.4029300000000001E-4</v>
      </c>
      <c r="C5" s="1">
        <v>0.61249659999999995</v>
      </c>
      <c r="D5" s="1">
        <v>0.41186476100000002</v>
      </c>
      <c r="E5" s="1">
        <v>0.61249659999999995</v>
      </c>
      <c r="F5" s="1">
        <v>0.17664558399999999</v>
      </c>
      <c r="G5" s="1">
        <v>2.1200000000000001E-19</v>
      </c>
      <c r="H5" s="1">
        <v>2.8797165651575301E-16</v>
      </c>
      <c r="I5" s="1">
        <v>7.5400000000000002E-16</v>
      </c>
      <c r="J5" s="1">
        <v>1.7421E-4</v>
      </c>
      <c r="K5" s="1">
        <v>1.262174E-3</v>
      </c>
      <c r="L5" s="1">
        <v>5.2526494279999998</v>
      </c>
      <c r="M5" s="1">
        <v>7.2451200939999998</v>
      </c>
      <c r="N5" s="1">
        <f t="shared" si="0"/>
        <v>266420730957.65237</v>
      </c>
      <c r="O5" s="10">
        <f t="shared" si="2"/>
        <v>200.24416666666667</v>
      </c>
      <c r="P5" s="1">
        <v>-2.4029201843164E-4</v>
      </c>
      <c r="Q5" s="1">
        <v>-0.58750359606660796</v>
      </c>
      <c r="R5" s="1">
        <v>-0.37922245433149698</v>
      </c>
      <c r="S5" s="1">
        <v>-0.58750359606660796</v>
      </c>
      <c r="T5" s="1">
        <v>-0.19046646121576999</v>
      </c>
      <c r="U5" s="1">
        <v>7.1209460859330804E-19</v>
      </c>
      <c r="V5" s="1">
        <v>7.0912997863371298E-16</v>
      </c>
      <c r="W5" s="1">
        <v>2.08297170143041E-15</v>
      </c>
      <c r="X5" s="1">
        <v>2.0278541818713301E-4</v>
      </c>
      <c r="Y5" s="1">
        <v>1.53150585003213E-3</v>
      </c>
      <c r="Z5" s="1">
        <v>6.3735142390000004</v>
      </c>
      <c r="AA5" s="1">
        <v>7.5523481370000001</v>
      </c>
      <c r="AB5" s="1">
        <f t="shared" si="1"/>
        <v>117018741176.07248</v>
      </c>
      <c r="AC5" s="10">
        <f t="shared" si="3"/>
        <v>200.24334869303334</v>
      </c>
      <c r="AD5" s="2" t="s">
        <v>23</v>
      </c>
      <c r="AE5" s="1"/>
      <c r="AF5" s="1"/>
      <c r="AG5" s="1"/>
      <c r="AH5" s="1"/>
      <c r="AI5" s="1"/>
      <c r="AJ5" s="1"/>
      <c r="AK5" s="1"/>
    </row>
    <row r="6" spans="1:37" s="1" customFormat="1" x14ac:dyDescent="0.25">
      <c r="A6" s="5">
        <v>3.625</v>
      </c>
      <c r="B6" s="6">
        <v>2.60153488945613E-4</v>
      </c>
      <c r="C6" s="6">
        <v>0.62610574650787099</v>
      </c>
      <c r="D6" s="6">
        <v>0.41104357271847303</v>
      </c>
      <c r="E6" s="6">
        <v>0.62610574650787099</v>
      </c>
      <c r="F6" s="6">
        <v>0.18363026487697701</v>
      </c>
      <c r="G6" s="6">
        <v>1.9834317933744599E-19</v>
      </c>
      <c r="H6" s="6">
        <v>2.8774732057137499E-16</v>
      </c>
      <c r="I6" s="6">
        <v>7.5783651735483603E-16</v>
      </c>
      <c r="J6" s="6">
        <v>1.8090899607415799E-4</v>
      </c>
      <c r="K6" s="6">
        <v>1.30318507661218E-3</v>
      </c>
      <c r="L6" s="6">
        <v>5.0092900996879397</v>
      </c>
      <c r="M6" s="6">
        <v>7.2035393755541799</v>
      </c>
      <c r="N6" s="6">
        <f t="shared" si="0"/>
        <v>273684814543.32657</v>
      </c>
      <c r="O6" s="6">
        <f t="shared" si="2"/>
        <v>216.79457412134417</v>
      </c>
      <c r="P6" s="6">
        <v>-2.6015278634082902E-4</v>
      </c>
      <c r="Q6" s="6">
        <v>-0.57389425349212797</v>
      </c>
      <c r="R6" s="6">
        <v>-0.38038916130152101</v>
      </c>
      <c r="S6" s="6">
        <v>-0.57389425349212797</v>
      </c>
      <c r="T6" s="6">
        <v>-0.18127900763478799</v>
      </c>
      <c r="U6" s="6">
        <v>9.1199750071992408E-19</v>
      </c>
      <c r="V6" s="6">
        <v>8.5694527337848301E-16</v>
      </c>
      <c r="W6" s="6">
        <v>2.4891402103038199E-15</v>
      </c>
      <c r="X6" s="6">
        <v>2.28634306715182E-4</v>
      </c>
      <c r="Y6" s="6">
        <v>1.7476420105939799E-3</v>
      </c>
      <c r="Z6" s="6">
        <v>6.7177416954054001</v>
      </c>
      <c r="AA6" s="6">
        <v>7.6438310405055896</v>
      </c>
      <c r="AB6" s="6">
        <f t="shared" si="1"/>
        <v>111743751352.25526</v>
      </c>
      <c r="AC6" s="6">
        <f t="shared" si="3"/>
        <v>216.79398861735754</v>
      </c>
      <c r="AD6" s="4" t="s">
        <v>24</v>
      </c>
    </row>
    <row r="7" spans="1:37" x14ac:dyDescent="0.25">
      <c r="A7">
        <v>4</v>
      </c>
      <c r="B7" s="1">
        <v>2.7060300000000001E-4</v>
      </c>
      <c r="C7" s="1">
        <v>0.63309631200000005</v>
      </c>
      <c r="D7" s="1">
        <v>0.41062205099999999</v>
      </c>
      <c r="E7" s="1">
        <v>0.63309631200000005</v>
      </c>
      <c r="F7" s="1">
        <v>0.18722488900000001</v>
      </c>
      <c r="G7" s="1">
        <v>1.9100000000000001E-19</v>
      </c>
      <c r="H7" s="1">
        <v>2.87639549401777E-16</v>
      </c>
      <c r="I7" s="1">
        <v>7.6000000000000002E-16</v>
      </c>
      <c r="J7" s="1">
        <v>1.8429000000000001E-4</v>
      </c>
      <c r="K7" s="1">
        <v>1.323332E-3</v>
      </c>
      <c r="L7" s="1">
        <v>4.8903027469999998</v>
      </c>
      <c r="M7" s="1">
        <v>7.1806914969999998</v>
      </c>
      <c r="N7" s="1">
        <f t="shared" si="0"/>
        <v>277124775199.58423</v>
      </c>
      <c r="O7" s="10">
        <f t="shared" si="2"/>
        <v>225.50250000000003</v>
      </c>
      <c r="P7" s="1">
        <v>-2.7060185562278701E-4</v>
      </c>
      <c r="Q7" s="1">
        <v>-0.56690368807434999</v>
      </c>
      <c r="R7" s="1">
        <v>-0.380997891499259</v>
      </c>
      <c r="S7" s="1">
        <v>-0.56690368807434999</v>
      </c>
      <c r="T7" s="1">
        <v>-0.176596573453735</v>
      </c>
      <c r="U7" s="1">
        <v>1.03592923981207E-18</v>
      </c>
      <c r="V7" s="1">
        <v>9.4575417054334498E-16</v>
      </c>
      <c r="W7" s="1">
        <v>2.7300920359145799E-15</v>
      </c>
      <c r="X7" s="1">
        <v>2.42916858062419E-4</v>
      </c>
      <c r="Y7" s="1">
        <v>1.8678167386795899E-3</v>
      </c>
      <c r="Z7" s="1">
        <v>6.9024422899999998</v>
      </c>
      <c r="AA7" s="1">
        <v>7.689119453</v>
      </c>
      <c r="AB7" s="1">
        <f t="shared" si="1"/>
        <v>108887269308.14021</v>
      </c>
      <c r="AC7" s="10">
        <f t="shared" si="3"/>
        <v>225.50154635232252</v>
      </c>
      <c r="AD7" s="2" t="s">
        <v>25</v>
      </c>
      <c r="AE7" s="1"/>
      <c r="AF7" s="1"/>
      <c r="AG7" s="1"/>
      <c r="AH7" s="1"/>
      <c r="AI7" s="1"/>
      <c r="AJ7" s="1"/>
      <c r="AK7" s="1"/>
    </row>
    <row r="8" spans="1:37" x14ac:dyDescent="0.25">
      <c r="A8" s="5">
        <v>5</v>
      </c>
      <c r="B8" s="6">
        <v>2.9450400000000001E-4</v>
      </c>
      <c r="C8" s="6">
        <v>0.64869939099999996</v>
      </c>
      <c r="D8" s="6">
        <v>0.40968193200000003</v>
      </c>
      <c r="E8" s="6">
        <v>0.64869939099999996</v>
      </c>
      <c r="F8" s="6">
        <v>0.19525952999999999</v>
      </c>
      <c r="G8" s="6">
        <v>1.7599999999999999E-19</v>
      </c>
      <c r="H8" s="6">
        <v>2.8741560708856402E-16</v>
      </c>
      <c r="I8" s="6">
        <v>7.6399999999999999E-16</v>
      </c>
      <c r="J8" s="6">
        <v>1.9169200000000001E-4</v>
      </c>
      <c r="K8" s="6">
        <v>1.36604E-3</v>
      </c>
      <c r="L8" s="6">
        <v>4.6384347239999997</v>
      </c>
      <c r="M8" s="6">
        <v>7.1262311499999997</v>
      </c>
      <c r="N8" s="6">
        <f t="shared" si="0"/>
        <v>284570704792.21564</v>
      </c>
      <c r="O8" s="6">
        <f t="shared" si="2"/>
        <v>245.42000000000002</v>
      </c>
      <c r="P8" s="6">
        <v>-2.94503143227619E-4</v>
      </c>
      <c r="Q8" s="6">
        <v>-0.55130060871369801</v>
      </c>
      <c r="R8" s="6">
        <v>-0.38236062178907598</v>
      </c>
      <c r="S8" s="6">
        <v>-0.55130060871369801</v>
      </c>
      <c r="T8" s="6">
        <v>-0.16626503566548301</v>
      </c>
      <c r="U8" s="6">
        <v>1.37811899564787E-18</v>
      </c>
      <c r="V8" s="6">
        <v>1.18295837196881E-15</v>
      </c>
      <c r="W8" s="6">
        <v>3.3637690851145398E-15</v>
      </c>
      <c r="X8" s="6">
        <v>2.77430223812941E-4</v>
      </c>
      <c r="Y8" s="6">
        <v>2.1597398903295002E-3</v>
      </c>
      <c r="Z8" s="6">
        <v>7.3334910879999997</v>
      </c>
      <c r="AA8" s="6">
        <v>7.7848039069999997</v>
      </c>
      <c r="AB8" s="6">
        <f t="shared" si="1"/>
        <v>102186942873.03714</v>
      </c>
      <c r="AC8" s="6">
        <f t="shared" si="3"/>
        <v>245.41928602301584</v>
      </c>
      <c r="AD8" s="2" t="s">
        <v>26</v>
      </c>
      <c r="AE8" s="1"/>
      <c r="AF8" s="1"/>
      <c r="AG8" s="1"/>
      <c r="AH8" s="1"/>
      <c r="AI8" s="1"/>
      <c r="AJ8" s="1"/>
      <c r="AK8" s="1"/>
    </row>
    <row r="9" spans="1:37" x14ac:dyDescent="0.25">
      <c r="A9">
        <v>6</v>
      </c>
      <c r="B9" s="1">
        <v>3.1417700000000001E-4</v>
      </c>
      <c r="C9" s="1">
        <v>0.66118469400000002</v>
      </c>
      <c r="D9" s="1">
        <v>0.40893038700000001</v>
      </c>
      <c r="E9" s="1">
        <v>0.66118469400000002</v>
      </c>
      <c r="F9" s="1">
        <v>0.20169543400000001</v>
      </c>
      <c r="G9" s="1">
        <v>1.6499999999999999E-19</v>
      </c>
      <c r="H9" s="1">
        <v>2.8725147881837798E-16</v>
      </c>
      <c r="I9" s="1">
        <v>7.6700000000000004E-16</v>
      </c>
      <c r="J9" s="1">
        <v>1.9747100000000001E-4</v>
      </c>
      <c r="K9" s="1">
        <v>1.3979789999999999E-3</v>
      </c>
      <c r="L9" s="1">
        <v>4.4496575470000002</v>
      </c>
      <c r="M9" s="1">
        <v>7.0794169470000003</v>
      </c>
      <c r="N9" s="1">
        <f t="shared" si="0"/>
        <v>290085095421.98792</v>
      </c>
      <c r="O9" s="10">
        <f t="shared" si="2"/>
        <v>261.81416666666667</v>
      </c>
      <c r="P9" s="1">
        <v>-3.1417529980539203E-4</v>
      </c>
      <c r="Q9" s="1">
        <v>-0.53881530574094805</v>
      </c>
      <c r="R9" s="1">
        <v>-0.38343985289733801</v>
      </c>
      <c r="S9" s="1">
        <v>-0.53881530574094805</v>
      </c>
      <c r="T9" s="1">
        <v>-0.158145211523438</v>
      </c>
      <c r="U9" s="1">
        <v>1.7338202437981199E-18</v>
      </c>
      <c r="V9" s="1">
        <v>1.42064387174023E-15</v>
      </c>
      <c r="W9" s="1">
        <v>3.9861544184757498E-15</v>
      </c>
      <c r="X9" s="1">
        <v>3.0783767663717098E-4</v>
      </c>
      <c r="Y9" s="1">
        <v>2.4180084920516999E-3</v>
      </c>
      <c r="Z9" s="1">
        <v>7.6963533780000004</v>
      </c>
      <c r="AA9" s="1">
        <v>7.8548165980000002</v>
      </c>
      <c r="AB9" s="1">
        <f t="shared" si="1"/>
        <v>96543676824.081665</v>
      </c>
      <c r="AC9" s="10">
        <f t="shared" si="3"/>
        <v>261.81274983782669</v>
      </c>
      <c r="AD9" s="2" t="s">
        <v>27</v>
      </c>
      <c r="AE9" s="1"/>
      <c r="AF9" s="1"/>
      <c r="AG9" s="1"/>
      <c r="AH9" s="1"/>
      <c r="AI9" s="1"/>
      <c r="AJ9" s="1"/>
      <c r="AK9" s="1"/>
    </row>
    <row r="10" spans="1:37" x14ac:dyDescent="0.25">
      <c r="A10" s="5">
        <v>7</v>
      </c>
      <c r="B10" s="6">
        <v>3.3085599999999998E-4</v>
      </c>
      <c r="C10" s="6">
        <v>0.67154912300000003</v>
      </c>
      <c r="D10" s="6">
        <v>0.40830699399999998</v>
      </c>
      <c r="E10" s="6">
        <v>0.67154912300000003</v>
      </c>
      <c r="F10" s="6">
        <v>0.20703959999999999</v>
      </c>
      <c r="G10" s="6">
        <v>1.56E-19</v>
      </c>
      <c r="H10" s="6">
        <v>2.8712442783794802E-16</v>
      </c>
      <c r="I10" s="6">
        <v>7.6899999999999997E-16</v>
      </c>
      <c r="J10" s="6">
        <v>2.0217299999999999E-4</v>
      </c>
      <c r="K10" s="6">
        <v>1.4230029999999999E-3</v>
      </c>
      <c r="L10" s="6">
        <v>4.3009744650000004</v>
      </c>
      <c r="M10" s="6">
        <v>7.03854164</v>
      </c>
      <c r="N10" s="6">
        <f t="shared" si="0"/>
        <v>294509702840.82751</v>
      </c>
      <c r="O10" s="6">
        <f t="shared" si="2"/>
        <v>275.71333333333331</v>
      </c>
      <c r="P10" s="6">
        <v>-3.3085455817617298E-4</v>
      </c>
      <c r="Q10" s="6">
        <v>-0.52845087701308302</v>
      </c>
      <c r="R10" s="6">
        <v>-0.38431915690624102</v>
      </c>
      <c r="S10" s="6">
        <v>-0.52845087701308302</v>
      </c>
      <c r="T10" s="6">
        <v>-0.151524564597323</v>
      </c>
      <c r="U10" s="6">
        <v>2.0999103590147098E-18</v>
      </c>
      <c r="V10" s="6">
        <v>1.6587435627756201E-15</v>
      </c>
      <c r="W10" s="6">
        <v>4.5987897145195703E-15</v>
      </c>
      <c r="X10" s="6">
        <v>3.3509321332802399E-4</v>
      </c>
      <c r="Y10" s="6">
        <v>2.6498038117149202E-3</v>
      </c>
      <c r="Z10" s="6">
        <v>8.0089536419999998</v>
      </c>
      <c r="AA10" s="6">
        <v>7.9076618280000002</v>
      </c>
      <c r="AB10" s="6">
        <f t="shared" si="1"/>
        <v>91704426824.881027</v>
      </c>
      <c r="AC10" s="6">
        <f t="shared" si="3"/>
        <v>275.71213181347747</v>
      </c>
      <c r="AD10" s="2" t="s">
        <v>28</v>
      </c>
      <c r="AE10" s="1"/>
      <c r="AF10" s="1"/>
      <c r="AG10" s="1"/>
      <c r="AH10" s="1"/>
      <c r="AI10" s="1"/>
      <c r="AJ10" s="1"/>
      <c r="AK10" s="1"/>
    </row>
    <row r="11" spans="1:37" x14ac:dyDescent="0.25">
      <c r="A11">
        <v>8</v>
      </c>
      <c r="B11" s="1">
        <v>3.4530999999999999E-4</v>
      </c>
      <c r="C11" s="1">
        <v>0.68038294700000002</v>
      </c>
      <c r="D11" s="1">
        <v>0.40777601200000002</v>
      </c>
      <c r="E11" s="1">
        <v>0.68038294700000002</v>
      </c>
      <c r="F11" s="1">
        <v>0.21159407499999999</v>
      </c>
      <c r="G11" s="1">
        <v>1.48E-19</v>
      </c>
      <c r="H11" s="1">
        <v>2.8702220432275998E-16</v>
      </c>
      <c r="I11" s="1">
        <v>7.6999999999999999E-16</v>
      </c>
      <c r="J11" s="1">
        <v>2.06114E-4</v>
      </c>
      <c r="K11" s="1">
        <v>1.4432850000000001E-3</v>
      </c>
      <c r="L11" s="1">
        <v>4.1796775899999998</v>
      </c>
      <c r="M11" s="1">
        <v>7.0023694949999999</v>
      </c>
      <c r="N11" s="1">
        <f t="shared" si="0"/>
        <v>298319405247.25476</v>
      </c>
      <c r="O11" s="10">
        <f t="shared" si="2"/>
        <v>287.75833333333333</v>
      </c>
      <c r="P11" s="1">
        <v>-3.4530856741771802E-4</v>
      </c>
      <c r="Q11" s="1">
        <v>-0.51961705329743502</v>
      </c>
      <c r="R11" s="1">
        <v>-0.38505269864438801</v>
      </c>
      <c r="S11" s="1">
        <v>-0.51961705329743502</v>
      </c>
      <c r="T11" s="1">
        <v>-0.14597919205676599</v>
      </c>
      <c r="U11" s="1">
        <v>2.4742374390421699E-18</v>
      </c>
      <c r="V11" s="1">
        <v>1.8972081092401E-15</v>
      </c>
      <c r="W11" s="1">
        <v>5.2028357828073098E-15</v>
      </c>
      <c r="X11" s="1">
        <v>3.5984276683820597E-4</v>
      </c>
      <c r="Y11" s="1">
        <v>2.8601924412186099E-3</v>
      </c>
      <c r="Z11" s="1">
        <v>8.2829883229999997</v>
      </c>
      <c r="AA11" s="1">
        <v>7.9484505590000003</v>
      </c>
      <c r="AB11" s="1">
        <f t="shared" si="1"/>
        <v>87493394797.941513</v>
      </c>
      <c r="AC11" s="10">
        <f t="shared" si="3"/>
        <v>287.75713951476502</v>
      </c>
      <c r="AD11" s="2" t="s">
        <v>29</v>
      </c>
      <c r="AE11" s="1"/>
      <c r="AF11" s="1"/>
      <c r="AG11" s="1"/>
      <c r="AH11" s="1"/>
      <c r="AI11" s="1"/>
      <c r="AJ11" s="1"/>
      <c r="AK11" s="1"/>
    </row>
    <row r="12" spans="1:37" x14ac:dyDescent="0.25">
      <c r="A12" s="5">
        <v>9</v>
      </c>
      <c r="B12" s="6">
        <v>3.5804700000000001E-4</v>
      </c>
      <c r="C12" s="6">
        <v>0.68806341699999995</v>
      </c>
      <c r="D12" s="6">
        <v>0.40731461699999999</v>
      </c>
      <c r="E12" s="6">
        <v>0.68806341699999995</v>
      </c>
      <c r="F12" s="6">
        <v>0.215552674</v>
      </c>
      <c r="G12" s="6">
        <v>1.42E-19</v>
      </c>
      <c r="H12" s="6">
        <v>2.8693755925373101E-16</v>
      </c>
      <c r="I12" s="6">
        <v>7.7200000000000002E-16</v>
      </c>
      <c r="J12" s="6">
        <v>2.0949099999999999E-4</v>
      </c>
      <c r="K12" s="6">
        <v>1.4601499999999999E-3</v>
      </c>
      <c r="L12" s="6">
        <v>4.0780888339999999</v>
      </c>
      <c r="M12" s="6">
        <v>6.9699940610000004</v>
      </c>
      <c r="N12" s="6">
        <f t="shared" si="0"/>
        <v>301023432844.08154</v>
      </c>
      <c r="O12" s="6">
        <f t="shared" si="2"/>
        <v>298.3725</v>
      </c>
      <c r="P12" s="6">
        <v>-3.5804599599140603E-4</v>
      </c>
      <c r="Q12" s="6">
        <v>-0.511936583170024</v>
      </c>
      <c r="R12" s="6">
        <v>-0.38567665814180702</v>
      </c>
      <c r="S12" s="6">
        <v>-0.511936583170024</v>
      </c>
      <c r="T12" s="6">
        <v>-0.141238011893454</v>
      </c>
      <c r="U12" s="6">
        <v>2.8552451767708598E-18</v>
      </c>
      <c r="V12" s="6">
        <v>2.1359994076084401E-15</v>
      </c>
      <c r="W12" s="6">
        <v>5.79919956383991E-15</v>
      </c>
      <c r="X12" s="6">
        <v>3.8254652111234001E-4</v>
      </c>
      <c r="Y12" s="6">
        <v>3.0528942412546898E-3</v>
      </c>
      <c r="Z12" s="6">
        <v>8.5265247009999996</v>
      </c>
      <c r="AA12" s="6">
        <v>7.98045224</v>
      </c>
      <c r="AB12" s="6">
        <f t="shared" si="1"/>
        <v>83784529896.52594</v>
      </c>
      <c r="AC12" s="6">
        <f t="shared" si="3"/>
        <v>298.3716633261717</v>
      </c>
      <c r="AD12" s="2" t="s">
        <v>30</v>
      </c>
      <c r="AE12" s="1"/>
      <c r="AF12" s="1"/>
      <c r="AG12" s="1"/>
      <c r="AH12" s="1"/>
      <c r="AI12" s="1"/>
      <c r="AJ12" s="1"/>
      <c r="AK12" s="1"/>
    </row>
    <row r="13" spans="1:37" x14ac:dyDescent="0.25">
      <c r="A13">
        <v>10</v>
      </c>
      <c r="B13" s="1">
        <v>3.69422E-4</v>
      </c>
      <c r="C13" s="1">
        <v>0.69484566000000003</v>
      </c>
      <c r="D13" s="1">
        <v>0.40690738399999998</v>
      </c>
      <c r="E13" s="1">
        <v>0.69484566000000003</v>
      </c>
      <c r="F13" s="1">
        <v>0.219046821</v>
      </c>
      <c r="G13" s="1">
        <v>1.3599999999999999E-19</v>
      </c>
      <c r="H13" s="1">
        <v>2.8686589705359802E-16</v>
      </c>
      <c r="I13" s="1">
        <v>7.7300000000000004E-16</v>
      </c>
      <c r="J13" s="1">
        <v>2.1243600000000001E-4</v>
      </c>
      <c r="K13" s="1">
        <v>1.474459E-3</v>
      </c>
      <c r="L13" s="1">
        <v>3.9912552469999998</v>
      </c>
      <c r="M13" s="1">
        <v>6.9407371839999996</v>
      </c>
      <c r="N13" s="1">
        <f t="shared" si="0"/>
        <v>303580127084.51862</v>
      </c>
      <c r="O13" s="10">
        <f t="shared" si="2"/>
        <v>307.85166666666669</v>
      </c>
      <c r="P13" s="1">
        <v>-3.6942082488763999E-4</v>
      </c>
      <c r="Q13" s="1">
        <v>-0.50515434016229599</v>
      </c>
      <c r="R13" s="1">
        <v>-0.38621601442300202</v>
      </c>
      <c r="S13" s="1">
        <v>-0.50515434016229599</v>
      </c>
      <c r="T13" s="1">
        <v>-0.13711803891058899</v>
      </c>
      <c r="U13" s="1">
        <v>3.2417659674793301E-18</v>
      </c>
      <c r="V13" s="1">
        <v>2.37508700044122E-15</v>
      </c>
      <c r="W13" s="1">
        <v>6.3886100803057399E-15</v>
      </c>
      <c r="X13" s="1">
        <v>4.0354519103644198E-4</v>
      </c>
      <c r="Y13" s="1">
        <v>3.23072656830896E-3</v>
      </c>
      <c r="Z13" s="1">
        <v>8.7453644940000004</v>
      </c>
      <c r="AA13" s="1">
        <v>8.0058606569999995</v>
      </c>
      <c r="AB13" s="1">
        <f t="shared" si="1"/>
        <v>80484815423.275833</v>
      </c>
      <c r="AC13" s="10">
        <f t="shared" si="3"/>
        <v>307.85068740636666</v>
      </c>
      <c r="AD13" s="2" t="s">
        <v>31</v>
      </c>
      <c r="AE13" s="1"/>
      <c r="AF13" s="1"/>
      <c r="AG13" s="1"/>
      <c r="AH13" s="1"/>
      <c r="AI13" s="1"/>
      <c r="AJ13" s="1"/>
      <c r="AK13" s="1"/>
    </row>
    <row r="14" spans="1:37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44</v>
      </c>
      <c r="Z14" s="2" t="s">
        <v>16</v>
      </c>
      <c r="AA14" s="2" t="s">
        <v>17</v>
      </c>
      <c r="AB14" s="2" t="s">
        <v>18</v>
      </c>
      <c r="AC14" s="2" t="s">
        <v>19</v>
      </c>
      <c r="AE14" s="2"/>
      <c r="AF14" s="2"/>
      <c r="AG14" s="2"/>
      <c r="AH14" s="2"/>
    </row>
    <row r="15" spans="1:37" x14ac:dyDescent="0.25">
      <c r="AD15" s="2"/>
      <c r="AJ15" s="1"/>
    </row>
    <row r="16" spans="1:37" x14ac:dyDescent="0.25">
      <c r="A16" s="3" t="s">
        <v>13</v>
      </c>
      <c r="B16" s="3" t="s">
        <v>14</v>
      </c>
      <c r="C16" s="3" t="s">
        <v>15</v>
      </c>
    </row>
    <row r="17" spans="1:24" x14ac:dyDescent="0.25">
      <c r="A17" s="4">
        <v>1.1999999999999999E-6</v>
      </c>
      <c r="B17" s="4">
        <v>5.9999999999999995E-8</v>
      </c>
      <c r="C17" s="2">
        <f>A17/B17</f>
        <v>20</v>
      </c>
    </row>
    <row r="19" spans="1:24" x14ac:dyDescent="0.25">
      <c r="X19" s="9"/>
    </row>
    <row r="21" spans="1:24" x14ac:dyDescent="0.25">
      <c r="W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741B-B012-4076-AE90-733BF093EEDE}">
  <dimension ref="A1:AJ24"/>
  <sheetViews>
    <sheetView zoomScale="85" zoomScaleNormal="85" workbookViewId="0">
      <selection activeCell="O2" sqref="O2:O13"/>
    </sheetView>
  </sheetViews>
  <sheetFormatPr defaultRowHeight="15" x14ac:dyDescent="0.25"/>
  <cols>
    <col min="1" max="1" width="8.7109375" customWidth="1"/>
    <col min="2" max="2" width="8.5703125" customWidth="1"/>
    <col min="5" max="5" width="9" customWidth="1"/>
    <col min="7" max="8" width="9" customWidth="1"/>
    <col min="20" max="20" width="9" bestFit="1" customWidth="1"/>
    <col min="21" max="21" width="9" customWidth="1"/>
  </cols>
  <sheetData>
    <row r="1" spans="1:3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45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10</v>
      </c>
      <c r="N1" s="3" t="s">
        <v>12</v>
      </c>
      <c r="O1" s="3" t="s">
        <v>46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45</v>
      </c>
      <c r="W1" s="3" t="s">
        <v>7</v>
      </c>
      <c r="X1" s="3" t="s">
        <v>8</v>
      </c>
      <c r="Y1" s="3" t="s">
        <v>9</v>
      </c>
      <c r="Z1" s="3" t="s">
        <v>11</v>
      </c>
      <c r="AA1" s="3" t="s">
        <v>10</v>
      </c>
      <c r="AB1" s="3" t="s">
        <v>12</v>
      </c>
      <c r="AC1" s="3" t="s">
        <v>46</v>
      </c>
      <c r="AD1" s="3"/>
      <c r="AE1" s="3"/>
      <c r="AF1" s="3"/>
      <c r="AG1" s="3"/>
      <c r="AH1" s="3"/>
      <c r="AI1" s="3"/>
    </row>
    <row r="2" spans="1:36" x14ac:dyDescent="0.25">
      <c r="A2" s="5">
        <v>1</v>
      </c>
      <c r="B2" s="6">
        <v>1.08209309682421E-4</v>
      </c>
      <c r="C2" s="6">
        <v>0.523968665251062</v>
      </c>
      <c r="D2" s="6">
        <v>0.34100486028784099</v>
      </c>
      <c r="E2" s="6">
        <v>0.523968665251062</v>
      </c>
      <c r="F2" s="6">
        <v>0.148847969668089</v>
      </c>
      <c r="G2" s="6">
        <v>6.8154434354364399E-19</v>
      </c>
      <c r="H2" s="6">
        <v>3.0258300353617198E-16</v>
      </c>
      <c r="I2" s="6">
        <v>1.1846198625366999E-15</v>
      </c>
      <c r="J2" s="6">
        <v>5.0486102914668301E-5</v>
      </c>
      <c r="K2" s="6">
        <v>8.7650213237805397E-4</v>
      </c>
      <c r="L2" s="6">
        <v>8.1000510843965294</v>
      </c>
      <c r="M2" s="6">
        <v>17.3612555094521</v>
      </c>
      <c r="N2" s="6">
        <f t="shared" ref="N2:N13" si="0">K2/(2*PI()*I2)</f>
        <v>117758997135.02596</v>
      </c>
      <c r="O2" s="6">
        <f>B2/$A$17</f>
        <v>90.17442473535084</v>
      </c>
      <c r="P2" s="6">
        <v>-1.0820096295448099E-4</v>
      </c>
      <c r="Q2" s="6">
        <v>-0.67603133474893695</v>
      </c>
      <c r="R2" s="6">
        <v>-0.34761899514988598</v>
      </c>
      <c r="S2" s="6">
        <v>-0.67603133474893695</v>
      </c>
      <c r="T2" s="6">
        <v>-0.279727792660592</v>
      </c>
      <c r="U2" s="6">
        <v>3.02545267668705E-19</v>
      </c>
      <c r="V2" s="6">
        <v>2.5123321973595002E-16</v>
      </c>
      <c r="W2" s="6">
        <v>1.1748321396301501E-15</v>
      </c>
      <c r="X2" s="6">
        <v>4.6589829819891997E-5</v>
      </c>
      <c r="Y2" s="6">
        <v>4.8990056417381599E-4</v>
      </c>
      <c r="Z2" s="6">
        <v>4.5276803082255999</v>
      </c>
      <c r="AA2" s="6">
        <v>10.5151825208996</v>
      </c>
      <c r="AB2" s="6">
        <f t="shared" ref="AB2:AB13" si="1">Y2/(2*PI()*W2)</f>
        <v>66367010044.785583</v>
      </c>
      <c r="AC2" s="6">
        <f>ABS(P2)/$A$17</f>
        <v>90.167469128734169</v>
      </c>
      <c r="AD2" s="2" t="s">
        <v>20</v>
      </c>
      <c r="AF2" s="1"/>
      <c r="AG2" s="1"/>
      <c r="AH2" s="1"/>
      <c r="AJ2" s="1"/>
    </row>
    <row r="3" spans="1:36" x14ac:dyDescent="0.25">
      <c r="A3">
        <v>2</v>
      </c>
      <c r="B3" s="1">
        <v>1.62029278152413E-4</v>
      </c>
      <c r="C3" s="1">
        <v>0.57749131909791496</v>
      </c>
      <c r="D3" s="1">
        <v>0.34057436561147397</v>
      </c>
      <c r="E3" s="1">
        <v>0.57749131909791496</v>
      </c>
      <c r="F3" s="1">
        <v>0.180110965294696</v>
      </c>
      <c r="G3" s="1">
        <v>5.2073283808854804E-19</v>
      </c>
      <c r="H3" s="1">
        <v>3.0243520538024399E-16</v>
      </c>
      <c r="I3" s="1">
        <v>1.22450207461998E-15</v>
      </c>
      <c r="J3" s="1">
        <v>6.3145025432354105E-5</v>
      </c>
      <c r="K3" s="1">
        <v>1.01374474165893E-3</v>
      </c>
      <c r="L3" s="1">
        <v>6.2565448191164803</v>
      </c>
      <c r="M3" s="1">
        <v>16.054229683459901</v>
      </c>
      <c r="N3" s="1">
        <f t="shared" si="0"/>
        <v>131761709524.67126</v>
      </c>
      <c r="O3" s="1">
        <f>B3/$A$17</f>
        <v>135.02439846034417</v>
      </c>
      <c r="P3" s="1">
        <v>-1.6202904202540101E-4</v>
      </c>
      <c r="Q3" s="1">
        <v>-0.622508680902084</v>
      </c>
      <c r="R3" s="1">
        <v>-0.34941864135356299</v>
      </c>
      <c r="S3" s="1">
        <v>-0.622508680902084</v>
      </c>
      <c r="T3" s="1">
        <v>-0.24048002471108401</v>
      </c>
      <c r="U3" s="1">
        <v>8.2005572882191004E-19</v>
      </c>
      <c r="V3" s="1">
        <v>4.9787556483839497E-16</v>
      </c>
      <c r="W3" s="1">
        <v>2.2885539819008702E-15</v>
      </c>
      <c r="X3" s="1">
        <v>7.8638142391754503E-5</v>
      </c>
      <c r="Y3" s="1">
        <v>8.8143794496803405E-4</v>
      </c>
      <c r="Z3" s="1">
        <v>5.4399861980218303</v>
      </c>
      <c r="AA3" s="1">
        <v>11.208783907648</v>
      </c>
      <c r="AB3" s="1">
        <f t="shared" si="1"/>
        <v>61298622221.663261</v>
      </c>
      <c r="AC3" s="10">
        <f t="shared" ref="AC3:AC13" si="2">ABS(P3)/$A$17</f>
        <v>135.02420168783419</v>
      </c>
      <c r="AD3" s="2" t="s">
        <v>21</v>
      </c>
      <c r="AF3" s="1"/>
      <c r="AG3" s="1"/>
      <c r="AH3" s="1"/>
      <c r="AJ3" s="1"/>
    </row>
    <row r="4" spans="1:36" x14ac:dyDescent="0.25">
      <c r="A4" s="5">
        <v>2.625</v>
      </c>
      <c r="B4" s="6">
        <v>1.8575306965187E-4</v>
      </c>
      <c r="C4" s="6">
        <v>0.59904106223938802</v>
      </c>
      <c r="D4" s="6">
        <v>0.34040312415769802</v>
      </c>
      <c r="E4" s="6">
        <v>0.59904106223938802</v>
      </c>
      <c r="F4" s="6">
        <v>0.192507078223526</v>
      </c>
      <c r="G4" s="6">
        <v>4.6347823705511197E-19</v>
      </c>
      <c r="H4" s="6">
        <v>3.02398971356114E-16</v>
      </c>
      <c r="I4" s="6">
        <v>1.2366413164721999E-15</v>
      </c>
      <c r="J4" s="6">
        <v>6.8077117779629195E-5</v>
      </c>
      <c r="K4" s="6">
        <v>1.05672747551487E-3</v>
      </c>
      <c r="L4" s="6">
        <v>5.68887570022103</v>
      </c>
      <c r="M4" s="6">
        <v>15.522506092804701</v>
      </c>
      <c r="N4" s="6">
        <f>K4/(2*PI()*I4)</f>
        <v>136000147325.65518</v>
      </c>
      <c r="O4" s="6">
        <f>B4/$A$17</f>
        <v>154.79422470989167</v>
      </c>
      <c r="P4" s="6">
        <v>-1.8575259209239301E-4</v>
      </c>
      <c r="Q4" s="6">
        <v>-0.60095893776061104</v>
      </c>
      <c r="R4" s="6">
        <v>-0.35039105615492599</v>
      </c>
      <c r="S4" s="6">
        <v>-0.60095893776061104</v>
      </c>
      <c r="T4" s="6">
        <v>-0.224779871358607</v>
      </c>
      <c r="U4" s="6">
        <v>1.2050869773861E-18</v>
      </c>
      <c r="V4" s="6">
        <v>6.5220953030137098E-16</v>
      </c>
      <c r="W4" s="6">
        <v>2.9661794763289799E-15</v>
      </c>
      <c r="X4" s="6">
        <v>9.4966943477877596E-5</v>
      </c>
      <c r="Y4" s="6">
        <v>1.09374347822333E-3</v>
      </c>
      <c r="Z4" s="6">
        <v>5.8881584533853397</v>
      </c>
      <c r="AA4" s="6">
        <v>11.5170967725008</v>
      </c>
      <c r="AB4" s="6">
        <f>Y4/(2*PI()*W4)</f>
        <v>58686496357.666481</v>
      </c>
      <c r="AC4" s="6">
        <f t="shared" si="2"/>
        <v>154.79382674366084</v>
      </c>
      <c r="AD4" s="2" t="s">
        <v>22</v>
      </c>
      <c r="AF4" s="1"/>
      <c r="AG4" s="1"/>
      <c r="AH4" s="1"/>
      <c r="AJ4" s="1"/>
    </row>
    <row r="5" spans="1:36" x14ac:dyDescent="0.25">
      <c r="A5">
        <v>3</v>
      </c>
      <c r="B5" s="1">
        <v>1.9778017388864699E-4</v>
      </c>
      <c r="C5" s="1">
        <v>0.60963620511987104</v>
      </c>
      <c r="D5" s="1">
        <v>0.34031937105651</v>
      </c>
      <c r="E5" s="1">
        <v>0.60963620511987104</v>
      </c>
      <c r="F5" s="1">
        <v>0.19855262903367299</v>
      </c>
      <c r="G5" s="1">
        <v>4.3694742733066302E-19</v>
      </c>
      <c r="H5" s="1">
        <v>3.0238482916475399E-16</v>
      </c>
      <c r="I5" s="1">
        <v>1.24196319335552E-15</v>
      </c>
      <c r="J5" s="1">
        <v>7.0465329715941504E-5</v>
      </c>
      <c r="K5" s="1">
        <v>1.0757712873266699E-3</v>
      </c>
      <c r="L5" s="1">
        <v>5.4392201606897901</v>
      </c>
      <c r="M5" s="1">
        <v>15.266674996956599</v>
      </c>
      <c r="N5" s="1">
        <f t="shared" si="0"/>
        <v>137857803621.20596</v>
      </c>
      <c r="O5" s="1">
        <f>B5/$A$17</f>
        <v>164.81681157387251</v>
      </c>
      <c r="P5" s="1">
        <v>-1.9777966193523799E-4</v>
      </c>
      <c r="Q5" s="1">
        <v>-0.59036379488012802</v>
      </c>
      <c r="R5" s="1">
        <v>-0.35088366081348998</v>
      </c>
      <c r="S5" s="1">
        <v>-0.59036379488012802</v>
      </c>
      <c r="T5" s="1">
        <v>-0.217105928256734</v>
      </c>
      <c r="U5" s="1">
        <v>1.4529431335207999E-18</v>
      </c>
      <c r="V5" s="1">
        <v>7.4485416199782101E-16</v>
      </c>
      <c r="W5" s="1">
        <v>3.3669730862049998E-15</v>
      </c>
      <c r="X5" s="1">
        <v>1.0382793324071001E-4</v>
      </c>
      <c r="Y5" s="1">
        <v>1.21192740021469E-3</v>
      </c>
      <c r="Z5" s="1">
        <v>6.12764861760229</v>
      </c>
      <c r="AA5" s="1">
        <v>11.672460024847201</v>
      </c>
      <c r="AB5" s="1">
        <f t="shared" si="1"/>
        <v>57287133420.505692</v>
      </c>
      <c r="AC5" s="10">
        <f t="shared" si="2"/>
        <v>164.81638494603166</v>
      </c>
      <c r="AD5" s="2" t="s">
        <v>23</v>
      </c>
      <c r="AF5" s="1"/>
      <c r="AG5" s="1"/>
      <c r="AH5" s="1"/>
      <c r="AJ5" s="1"/>
    </row>
    <row r="6" spans="1:36" x14ac:dyDescent="0.25">
      <c r="A6" s="5">
        <v>3.625</v>
      </c>
      <c r="B6" s="6">
        <v>2.15146706889782E-4</v>
      </c>
      <c r="C6" s="6">
        <v>0.62460687139286997</v>
      </c>
      <c r="D6" s="6">
        <v>0.34020152380586899</v>
      </c>
      <c r="E6" s="6">
        <v>0.62460687139286997</v>
      </c>
      <c r="F6" s="6">
        <v>0.207038841013411</v>
      </c>
      <c r="G6" s="6">
        <v>4.0125321494717602E-19</v>
      </c>
      <c r="H6" s="6">
        <v>3.0236841041763298E-16</v>
      </c>
      <c r="I6" s="6">
        <v>1.2488452923183699E-15</v>
      </c>
      <c r="J6" s="6">
        <v>7.3798417949837798E-5</v>
      </c>
      <c r="K6" s="6">
        <v>1.10060536810507E-3</v>
      </c>
      <c r="L6" s="6">
        <v>5.1155974714872299</v>
      </c>
      <c r="M6" s="6">
        <v>14.913671575631501</v>
      </c>
      <c r="N6" s="6">
        <f t="shared" si="0"/>
        <v>140262997990.90039</v>
      </c>
      <c r="O6" s="6">
        <f>B6/$A$17</f>
        <v>179.28892240815168</v>
      </c>
      <c r="P6" s="6">
        <v>-2.1514611725298999E-4</v>
      </c>
      <c r="Q6" s="6">
        <v>-0.57539312860712899</v>
      </c>
      <c r="R6" s="6">
        <v>-0.35157906093442598</v>
      </c>
      <c r="S6" s="6">
        <v>-0.57539312860712899</v>
      </c>
      <c r="T6" s="6">
        <v>-0.206331860871414</v>
      </c>
      <c r="U6" s="6">
        <v>1.8890415693555402E-18</v>
      </c>
      <c r="V6" s="6">
        <v>8.9932464697199108E-16</v>
      </c>
      <c r="W6" s="6">
        <v>4.0263333153909897E-15</v>
      </c>
      <c r="X6" s="6">
        <v>1.1737149166460399E-4</v>
      </c>
      <c r="Y6" s="6">
        <v>1.39604239507805E-3</v>
      </c>
      <c r="Z6" s="6">
        <v>6.4887933902065296</v>
      </c>
      <c r="AA6" s="6">
        <v>11.894220438701799</v>
      </c>
      <c r="AB6" s="6">
        <f t="shared" si="1"/>
        <v>55183471048.755966</v>
      </c>
      <c r="AC6" s="6">
        <f t="shared" si="2"/>
        <v>179.28843104415833</v>
      </c>
      <c r="AD6" s="2" t="s">
        <v>24</v>
      </c>
      <c r="AF6" s="1"/>
      <c r="AG6" s="1"/>
      <c r="AH6" s="1"/>
      <c r="AJ6" s="1"/>
    </row>
    <row r="7" spans="1:36" x14ac:dyDescent="0.25">
      <c r="A7">
        <v>4</v>
      </c>
      <c r="B7" s="1">
        <v>2.24295636855157E-4</v>
      </c>
      <c r="C7" s="1">
        <v>0.63235486572266597</v>
      </c>
      <c r="D7" s="1">
        <v>0.34014075958546403</v>
      </c>
      <c r="E7" s="1">
        <v>0.63235486572266597</v>
      </c>
      <c r="F7" s="1">
        <v>0.21140533679913301</v>
      </c>
      <c r="G7" s="1">
        <v>3.83590013877854E-19</v>
      </c>
      <c r="H7" s="1">
        <v>3.0236139601202901E-16</v>
      </c>
      <c r="I7" s="1">
        <v>1.2521394985916799E-15</v>
      </c>
      <c r="J7" s="1">
        <v>7.55044674038999E-5</v>
      </c>
      <c r="K7" s="1">
        <v>1.1125839959163001E-3</v>
      </c>
      <c r="L7" s="1">
        <v>4.9603397161467004</v>
      </c>
      <c r="M7" s="1">
        <v>14.735339962928199</v>
      </c>
      <c r="N7" s="1">
        <f t="shared" si="0"/>
        <v>141416545643.81366</v>
      </c>
      <c r="O7" s="1">
        <f>B7/$A$17</f>
        <v>186.91303071263084</v>
      </c>
      <c r="P7" s="1">
        <v>-2.2429511285229701E-4</v>
      </c>
      <c r="Q7" s="1">
        <v>-0.56764513427733299</v>
      </c>
      <c r="R7" s="1">
        <v>-0.35193435548950602</v>
      </c>
      <c r="S7" s="1">
        <v>-0.56764513427733299</v>
      </c>
      <c r="T7" s="1">
        <v>-0.20079401728633001</v>
      </c>
      <c r="U7" s="1">
        <v>2.1625701407564501E-18</v>
      </c>
      <c r="V7" s="1">
        <v>9.9204112608237991E-16</v>
      </c>
      <c r="W7" s="1">
        <v>4.4171825035654699E-15</v>
      </c>
      <c r="X7" s="1">
        <v>1.24883828523248E-4</v>
      </c>
      <c r="Y7" s="1">
        <v>1.49976202724056E-3</v>
      </c>
      <c r="Z7" s="1">
        <v>6.6865389310699097</v>
      </c>
      <c r="AA7" s="1">
        <v>12.0092572831506</v>
      </c>
      <c r="AB7" s="1">
        <f t="shared" si="1"/>
        <v>54037735571.076591</v>
      </c>
      <c r="AC7" s="10">
        <f t="shared" si="2"/>
        <v>186.91259404358084</v>
      </c>
      <c r="AD7" s="2" t="s">
        <v>25</v>
      </c>
      <c r="AF7" s="1"/>
      <c r="AG7" s="1"/>
      <c r="AH7" s="1"/>
      <c r="AJ7" s="1"/>
    </row>
    <row r="8" spans="1:36" x14ac:dyDescent="0.25">
      <c r="A8" s="5">
        <v>5</v>
      </c>
      <c r="B8" s="6">
        <v>2.4522682191550601E-4</v>
      </c>
      <c r="C8" s="6">
        <v>0.64976561770950203</v>
      </c>
      <c r="D8" s="6">
        <v>0.34000477934604301</v>
      </c>
      <c r="E8" s="6">
        <v>0.64976561770950203</v>
      </c>
      <c r="F8" s="6">
        <v>0.22115571941384499</v>
      </c>
      <c r="G8" s="6">
        <v>3.4585890496202699E-19</v>
      </c>
      <c r="H8" s="6">
        <v>3.0234892059909698E-16</v>
      </c>
      <c r="I8" s="6">
        <v>1.2589447933393399E-15</v>
      </c>
      <c r="J8" s="6">
        <v>7.9291370790020497E-5</v>
      </c>
      <c r="K8" s="6">
        <v>1.1375400136720299E-3</v>
      </c>
      <c r="L8" s="6">
        <v>4.6387198284797204</v>
      </c>
      <c r="M8" s="6">
        <v>14.346328009443299</v>
      </c>
      <c r="N8" s="6">
        <f t="shared" si="0"/>
        <v>143807033555.86008</v>
      </c>
      <c r="O8" s="6">
        <f>B8/$A$17</f>
        <v>204.35568492958834</v>
      </c>
      <c r="P8" s="6">
        <v>-2.4522620078999197E-4</v>
      </c>
      <c r="Q8" s="6">
        <v>-0.55023438229049704</v>
      </c>
      <c r="R8" s="6">
        <v>-0.35271119889679098</v>
      </c>
      <c r="S8" s="6">
        <v>-0.55023438229049704</v>
      </c>
      <c r="T8" s="6">
        <v>-0.18846604650309901</v>
      </c>
      <c r="U8" s="6">
        <v>2.9277646834017699E-18</v>
      </c>
      <c r="V8" s="6">
        <v>1.23939773490723E-15</v>
      </c>
      <c r="W8" s="6">
        <v>5.4437217542848097E-15</v>
      </c>
      <c r="X8" s="6">
        <v>1.4312483019211699E-4</v>
      </c>
      <c r="Y8" s="6">
        <v>1.75554140314646E-3</v>
      </c>
      <c r="Z8" s="6">
        <v>7.1588456306998198</v>
      </c>
      <c r="AA8" s="6">
        <v>12.2658060155599</v>
      </c>
      <c r="AB8" s="6">
        <f t="shared" si="1"/>
        <v>51325748215.055237</v>
      </c>
      <c r="AC8" s="6">
        <f t="shared" si="2"/>
        <v>204.35516732499332</v>
      </c>
      <c r="AD8" s="2" t="s">
        <v>26</v>
      </c>
      <c r="AF8" s="1"/>
      <c r="AG8" s="1"/>
      <c r="AH8" s="1"/>
      <c r="AJ8" s="1"/>
    </row>
    <row r="9" spans="1:36" x14ac:dyDescent="0.25">
      <c r="A9">
        <v>6</v>
      </c>
      <c r="B9" s="1">
        <v>2.6243295651057398E-4</v>
      </c>
      <c r="C9" s="1">
        <v>0.66378704984705605</v>
      </c>
      <c r="D9" s="1">
        <v>0.33989583835822401</v>
      </c>
      <c r="E9" s="1">
        <v>0.66378704984705605</v>
      </c>
      <c r="F9" s="1">
        <v>0.22894840703077901</v>
      </c>
      <c r="G9" s="1">
        <v>3.1738125976149701E-19</v>
      </c>
      <c r="H9" s="1">
        <v>3.0234184193660098E-16</v>
      </c>
      <c r="I9" s="1">
        <v>1.2638841704362101E-15</v>
      </c>
      <c r="J9" s="1">
        <v>8.2294535251108405E-5</v>
      </c>
      <c r="K9" s="1">
        <v>1.1558483429597601E-3</v>
      </c>
      <c r="L9" s="1">
        <v>4.4043508142082599</v>
      </c>
      <c r="M9" s="1">
        <v>14.0452624154553</v>
      </c>
      <c r="N9" s="1">
        <f t="shared" si="0"/>
        <v>145550503400.26932</v>
      </c>
      <c r="O9" s="1">
        <f>B9/$A$17</f>
        <v>218.69413042547833</v>
      </c>
      <c r="P9" s="1">
        <v>-2.6243221951912602E-4</v>
      </c>
      <c r="Q9" s="1">
        <v>-0.53621295015294301</v>
      </c>
      <c r="R9" s="1">
        <v>-0.35330779746656499</v>
      </c>
      <c r="S9" s="1">
        <v>-0.53621295015294301</v>
      </c>
      <c r="T9" s="1">
        <v>-0.17867776629044901</v>
      </c>
      <c r="U9" s="1">
        <v>3.73529943277186E-18</v>
      </c>
      <c r="V9" s="1">
        <v>1.4869026160228001E-15</v>
      </c>
      <c r="W9" s="1">
        <v>6.4497654399919504E-15</v>
      </c>
      <c r="X9" s="1">
        <v>1.5930305292850201E-4</v>
      </c>
      <c r="Y9" s="1">
        <v>1.9861140243740498E-3</v>
      </c>
      <c r="Z9" s="1">
        <v>7.5680810169046397</v>
      </c>
      <c r="AA9" s="1">
        <v>12.467520162752001</v>
      </c>
      <c r="AB9" s="1">
        <f t="shared" si="1"/>
        <v>49009513208.539513</v>
      </c>
      <c r="AC9" s="10">
        <f t="shared" si="2"/>
        <v>218.69351626593837</v>
      </c>
      <c r="AD9" s="2" t="s">
        <v>27</v>
      </c>
      <c r="AF9" s="1"/>
      <c r="AG9" s="1"/>
      <c r="AH9" s="1"/>
      <c r="AJ9" s="1"/>
    </row>
    <row r="10" spans="1:36" x14ac:dyDescent="0.25">
      <c r="A10" s="5">
        <v>7</v>
      </c>
      <c r="B10" s="6">
        <v>2.76987135626203E-4</v>
      </c>
      <c r="C10" s="6">
        <v>0.67546729091435098</v>
      </c>
      <c r="D10" s="6">
        <v>0.33980547444743903</v>
      </c>
      <c r="E10" s="6">
        <v>0.67546729091435098</v>
      </c>
      <c r="F10" s="6">
        <v>0.235401544078747</v>
      </c>
      <c r="G10" s="6">
        <v>2.9490594677855602E-19</v>
      </c>
      <c r="H10" s="6">
        <v>3.0233774764517901E-16</v>
      </c>
      <c r="I10" s="6">
        <v>1.26767011915328E-15</v>
      </c>
      <c r="J10" s="6">
        <v>8.4765028080005801E-5</v>
      </c>
      <c r="K10" s="6">
        <v>1.1700017660314799E-3</v>
      </c>
      <c r="L10" s="6">
        <v>4.2240235694008197</v>
      </c>
      <c r="M10" s="6">
        <v>13.802883011224401</v>
      </c>
      <c r="N10" s="6">
        <f t="shared" si="0"/>
        <v>146892761513.17212</v>
      </c>
      <c r="O10" s="6">
        <f>B10/$A$17</f>
        <v>230.82261302183585</v>
      </c>
      <c r="P10" s="6">
        <v>-2.7698628474704702E-4</v>
      </c>
      <c r="Q10" s="6">
        <v>-0.52453270908564797</v>
      </c>
      <c r="R10" s="6">
        <v>-0.353781023716012</v>
      </c>
      <c r="S10" s="6">
        <v>-0.52453270908564797</v>
      </c>
      <c r="T10" s="6">
        <v>-0.170637765390693</v>
      </c>
      <c r="U10" s="6">
        <v>4.5762323478069898E-18</v>
      </c>
      <c r="V10" s="6">
        <v>1.73454081391457E-15</v>
      </c>
      <c r="W10" s="6">
        <v>7.43768608388643E-15</v>
      </c>
      <c r="X10" s="6">
        <v>1.7389345775020099E-4</v>
      </c>
      <c r="Y10" s="6">
        <v>2.19623630290874E-3</v>
      </c>
      <c r="Z10" s="6">
        <v>7.9290198885652696</v>
      </c>
      <c r="AA10" s="6">
        <v>12.629781081607099</v>
      </c>
      <c r="AB10" s="6">
        <f t="shared" si="1"/>
        <v>46996049559.42807</v>
      </c>
      <c r="AC10" s="6">
        <f t="shared" si="2"/>
        <v>230.82190395587253</v>
      </c>
      <c r="AD10" s="2" t="s">
        <v>28</v>
      </c>
      <c r="AF10" s="1"/>
      <c r="AG10" s="1"/>
      <c r="AH10" s="1"/>
      <c r="AJ10" s="1"/>
    </row>
    <row r="11" spans="1:36" x14ac:dyDescent="0.25">
      <c r="A11">
        <v>8</v>
      </c>
      <c r="B11" s="1">
        <v>2.8956316161329399E-4</v>
      </c>
      <c r="C11" s="1">
        <v>0.68543988239426201</v>
      </c>
      <c r="D11" s="1">
        <v>0.33972859999392402</v>
      </c>
      <c r="E11" s="1">
        <v>0.68543988239426201</v>
      </c>
      <c r="F11" s="1">
        <v>0.24088508533920899</v>
      </c>
      <c r="G11" s="1">
        <v>2.7658054027247402E-19</v>
      </c>
      <c r="H11" s="1">
        <v>3.02335436401226E-16</v>
      </c>
      <c r="I11" s="1">
        <v>1.27068717699308E-15</v>
      </c>
      <c r="J11" s="1">
        <v>8.6852185799135396E-5</v>
      </c>
      <c r="K11" s="1">
        <v>1.18135874292206E-3</v>
      </c>
      <c r="L11" s="1">
        <v>4.0797908284848798</v>
      </c>
      <c r="M11" s="1">
        <v>13.601946019576401</v>
      </c>
      <c r="N11" s="1">
        <f t="shared" si="0"/>
        <v>147966460121.04788</v>
      </c>
      <c r="O11" s="1">
        <f>B11/$A$17</f>
        <v>241.302634677745</v>
      </c>
      <c r="P11" s="1">
        <v>-2.8956220359215398E-4</v>
      </c>
      <c r="Q11" s="1">
        <v>-0.51456011760573706</v>
      </c>
      <c r="R11" s="1">
        <v>-0.35416638473637502</v>
      </c>
      <c r="S11" s="1">
        <v>-0.51456011760573706</v>
      </c>
      <c r="T11" s="1">
        <v>-0.163867258461041</v>
      </c>
      <c r="U11" s="1">
        <v>5.4441817297738197E-18</v>
      </c>
      <c r="V11" s="1">
        <v>1.9823007262335498E-15</v>
      </c>
      <c r="W11" s="1">
        <v>8.4093379552470198E-15</v>
      </c>
      <c r="X11" s="1">
        <v>1.8721758409688999E-4</v>
      </c>
      <c r="Y11" s="1">
        <v>2.3893787391551799E-3</v>
      </c>
      <c r="Z11" s="1">
        <v>8.2516687943349094</v>
      </c>
      <c r="AA11" s="1">
        <v>12.762576499858</v>
      </c>
      <c r="AB11" s="1">
        <f t="shared" si="1"/>
        <v>45221328870.241219</v>
      </c>
      <c r="AC11" s="10">
        <f t="shared" si="2"/>
        <v>241.30183632679498</v>
      </c>
      <c r="AD11" s="2" t="s">
        <v>29</v>
      </c>
      <c r="AF11" s="1"/>
      <c r="AG11" s="1"/>
      <c r="AH11" s="1"/>
      <c r="AJ11" s="1"/>
    </row>
    <row r="12" spans="1:36" x14ac:dyDescent="0.25">
      <c r="A12" s="5">
        <v>9</v>
      </c>
      <c r="B12" s="6">
        <v>3.00610757321705E-4</v>
      </c>
      <c r="C12" s="6">
        <v>0.69411588775908595</v>
      </c>
      <c r="D12" s="6">
        <v>0.33966192882486201</v>
      </c>
      <c r="E12" s="6">
        <v>0.69411588775908595</v>
      </c>
      <c r="F12" s="6">
        <v>0.24563707064153401</v>
      </c>
      <c r="G12" s="6">
        <v>2.6126335255410201E-19</v>
      </c>
      <c r="H12" s="6">
        <v>3.0233425024319502E-16</v>
      </c>
      <c r="I12" s="6">
        <v>1.2731626982035301E-15</v>
      </c>
      <c r="J12" s="6">
        <v>8.8651590524571193E-5</v>
      </c>
      <c r="K12" s="6">
        <v>1.1907295696397199E-3</v>
      </c>
      <c r="L12" s="6">
        <v>3.9610289950962301</v>
      </c>
      <c r="M12" s="6">
        <v>13.4315646520712</v>
      </c>
      <c r="N12" s="6">
        <f t="shared" si="0"/>
        <v>148850180076.16113</v>
      </c>
      <c r="O12" s="6">
        <f>B12/$A$17</f>
        <v>250.50896443475418</v>
      </c>
      <c r="P12" s="6">
        <v>-3.0060969897988501E-4</v>
      </c>
      <c r="Q12" s="6">
        <v>-0.50588411224091301</v>
      </c>
      <c r="R12" s="6">
        <v>-0.35448698080197899</v>
      </c>
      <c r="S12" s="6">
        <v>-0.50588411224091301</v>
      </c>
      <c r="T12" s="6">
        <v>-0.15805573465130701</v>
      </c>
      <c r="U12" s="6">
        <v>6.33440738819099E-18</v>
      </c>
      <c r="V12" s="6">
        <v>2.2301728752207398E-15</v>
      </c>
      <c r="W12" s="6">
        <v>9.3662172879888495E-15</v>
      </c>
      <c r="X12" s="6">
        <v>1.9950442159462901E-4</v>
      </c>
      <c r="Y12" s="6">
        <v>2.5681668194306199E-3</v>
      </c>
      <c r="Z12" s="6">
        <v>8.5431664651356201</v>
      </c>
      <c r="AA12" s="6">
        <v>12.8727313354931</v>
      </c>
      <c r="AB12" s="6">
        <f t="shared" si="1"/>
        <v>43639436437.283394</v>
      </c>
      <c r="AC12" s="6">
        <f t="shared" si="2"/>
        <v>250.50808248323753</v>
      </c>
      <c r="AD12" s="2" t="s">
        <v>30</v>
      </c>
      <c r="AF12" s="1"/>
      <c r="AG12" s="1"/>
      <c r="AH12" s="1"/>
      <c r="AJ12" s="1"/>
    </row>
    <row r="13" spans="1:36" x14ac:dyDescent="0.25">
      <c r="A13">
        <v>10</v>
      </c>
      <c r="B13" s="1">
        <v>3.1044437494399198E-4</v>
      </c>
      <c r="C13" s="1">
        <v>0.70177646960937101</v>
      </c>
      <c r="D13" s="1">
        <v>0.33960322193336701</v>
      </c>
      <c r="E13" s="1">
        <v>0.70177646960937101</v>
      </c>
      <c r="F13" s="1">
        <v>0.24981916612474001</v>
      </c>
      <c r="G13" s="1">
        <v>2.4820801706896802E-19</v>
      </c>
      <c r="H13" s="1">
        <v>3.0233380278457499E-16</v>
      </c>
      <c r="I13" s="1">
        <v>1.27524047690663E-15</v>
      </c>
      <c r="J13" s="1">
        <v>9.0227856127729299E-5</v>
      </c>
      <c r="K13" s="1">
        <v>1.19863087635323E-3</v>
      </c>
      <c r="L13" s="1">
        <v>3.8610111843566002</v>
      </c>
      <c r="M13" s="1">
        <v>13.2844880483075</v>
      </c>
      <c r="N13" s="1">
        <f t="shared" si="0"/>
        <v>149593768680.34793</v>
      </c>
      <c r="O13" s="1">
        <f>B13/$A$17</f>
        <v>258.70364578665999</v>
      </c>
      <c r="P13" s="1">
        <v>-3.1044322208677902E-4</v>
      </c>
      <c r="Q13" s="1">
        <v>-0.498223530390628</v>
      </c>
      <c r="R13" s="1">
        <v>-0.35475844072803098</v>
      </c>
      <c r="S13" s="1">
        <v>-0.498223530390628</v>
      </c>
      <c r="T13" s="1">
        <v>-0.15299109179112599</v>
      </c>
      <c r="U13" s="1">
        <v>7.2432779949747301E-18</v>
      </c>
      <c r="V13" s="1">
        <v>2.47814928298205E-15</v>
      </c>
      <c r="W13" s="1">
        <v>1.03095607443216E-14</v>
      </c>
      <c r="X13" s="1">
        <v>2.10923484672498E-4</v>
      </c>
      <c r="Y13" s="1">
        <v>2.7346428949667702E-3</v>
      </c>
      <c r="Z13" s="1">
        <v>8.8088056550984906</v>
      </c>
      <c r="AA13" s="1">
        <v>12.965094423756801</v>
      </c>
      <c r="AB13" s="1">
        <f t="shared" si="1"/>
        <v>42216341231.105652</v>
      </c>
      <c r="AC13" s="10">
        <f t="shared" si="2"/>
        <v>258.70268507231583</v>
      </c>
      <c r="AD13" s="2" t="s">
        <v>31</v>
      </c>
      <c r="AF13" s="1"/>
      <c r="AG13" s="1"/>
      <c r="AH13" s="1"/>
      <c r="AJ13" s="1"/>
    </row>
    <row r="14" spans="1:36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44</v>
      </c>
      <c r="Z14" s="2" t="s">
        <v>16</v>
      </c>
      <c r="AA14" s="2" t="s">
        <v>17</v>
      </c>
      <c r="AB14" s="2" t="s">
        <v>18</v>
      </c>
      <c r="AC14" s="2" t="s">
        <v>19</v>
      </c>
      <c r="AD14" s="2"/>
      <c r="AE14" s="4"/>
      <c r="AF14" s="2"/>
      <c r="AG14" s="2"/>
      <c r="AH14" s="2"/>
    </row>
    <row r="15" spans="1:36" x14ac:dyDescent="0.25">
      <c r="A15" s="3"/>
      <c r="AJ15" s="1"/>
    </row>
    <row r="16" spans="1:36" x14ac:dyDescent="0.25">
      <c r="A16" s="3" t="s">
        <v>13</v>
      </c>
      <c r="B16" s="3" t="s">
        <v>14</v>
      </c>
      <c r="C16" s="3" t="s">
        <v>15</v>
      </c>
    </row>
    <row r="17" spans="1:30" x14ac:dyDescent="0.25">
      <c r="A17" s="4">
        <v>1.1999999999999999E-6</v>
      </c>
      <c r="B17" s="4">
        <v>8.9999999999999999E-8</v>
      </c>
      <c r="C17" s="2">
        <f>A17/B17</f>
        <v>13.333333333333332</v>
      </c>
    </row>
    <row r="18" spans="1:30" x14ac:dyDescent="0.25">
      <c r="X18" s="1"/>
      <c r="Y18" s="1"/>
      <c r="AA18" s="1"/>
      <c r="AB18" s="1"/>
      <c r="AD18" s="1"/>
    </row>
    <row r="19" spans="1:30" x14ac:dyDescent="0.25">
      <c r="E19" s="1"/>
      <c r="F19" s="1"/>
    </row>
    <row r="24" spans="1:30" x14ac:dyDescent="0.25">
      <c r="G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6B10-81DF-40FB-B520-0B38E0EC7609}">
  <dimension ref="A1:AO25"/>
  <sheetViews>
    <sheetView zoomScale="85" zoomScaleNormal="85" workbookViewId="0">
      <selection activeCell="O2" sqref="O2:O13"/>
    </sheetView>
  </sheetViews>
  <sheetFormatPr defaultRowHeight="15" x14ac:dyDescent="0.25"/>
  <cols>
    <col min="1" max="1" width="8.85546875" customWidth="1"/>
    <col min="2" max="2" width="9" customWidth="1"/>
    <col min="3" max="3" width="8.85546875" customWidth="1"/>
    <col min="4" max="4" width="8.42578125" customWidth="1"/>
    <col min="5" max="5" width="8.5703125" customWidth="1"/>
    <col min="6" max="6" width="8.42578125" customWidth="1"/>
    <col min="7" max="7" width="8.85546875" customWidth="1"/>
    <col min="8" max="8" width="9.140625" customWidth="1"/>
    <col min="20" max="20" width="8.85546875" customWidth="1"/>
    <col min="21" max="21" width="9.140625" customWidth="1"/>
    <col min="22" max="22" width="9" customWidth="1"/>
  </cols>
  <sheetData>
    <row r="1" spans="1:4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45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10</v>
      </c>
      <c r="N1" s="3" t="s">
        <v>12</v>
      </c>
      <c r="O1" s="3" t="s">
        <v>46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45</v>
      </c>
      <c r="W1" s="3" t="s">
        <v>7</v>
      </c>
      <c r="X1" s="3" t="s">
        <v>8</v>
      </c>
      <c r="Y1" s="3" t="s">
        <v>9</v>
      </c>
      <c r="Z1" s="3" t="s">
        <v>11</v>
      </c>
      <c r="AA1" s="3" t="s">
        <v>10</v>
      </c>
      <c r="AB1" s="3" t="s">
        <v>12</v>
      </c>
      <c r="AC1" s="3" t="s">
        <v>46</v>
      </c>
    </row>
    <row r="2" spans="1:41" x14ac:dyDescent="0.25">
      <c r="A2" s="5">
        <v>1</v>
      </c>
      <c r="B2" s="6">
        <v>9.8900000000000005E-5</v>
      </c>
      <c r="C2" s="6">
        <v>0.50391380500000005</v>
      </c>
      <c r="D2" s="6">
        <v>0.28286438800000002</v>
      </c>
      <c r="E2" s="6">
        <v>0.50391380500000005</v>
      </c>
      <c r="F2" s="6">
        <v>0.16677341900000001</v>
      </c>
      <c r="G2" s="6">
        <v>1.0400000000000001E-18</v>
      </c>
      <c r="H2" s="6">
        <v>3.1005609597379802E-16</v>
      </c>
      <c r="I2" s="6">
        <v>1.6800000000000001E-15</v>
      </c>
      <c r="J2" s="6">
        <v>3.65E-5</v>
      </c>
      <c r="K2" s="6">
        <v>7.7143100000000005E-4</v>
      </c>
      <c r="L2" s="6">
        <v>7.8010917820000003</v>
      </c>
      <c r="M2" s="6">
        <v>21.142990810000001</v>
      </c>
      <c r="N2" s="6">
        <f t="shared" ref="N2:N13" si="0">K2/(2*PI()*I2)</f>
        <v>73081581490.668991</v>
      </c>
      <c r="O2" s="6">
        <f>B2/$A$17</f>
        <v>82.416666666666671</v>
      </c>
      <c r="P2" s="6">
        <v>-9.8900000000000005E-5</v>
      </c>
      <c r="Q2" s="6">
        <v>-0.69608619500000002</v>
      </c>
      <c r="R2" s="6">
        <v>-0.32491901400000001</v>
      </c>
      <c r="S2" s="6">
        <v>-0.69608619500000002</v>
      </c>
      <c r="T2" s="6">
        <v>-0.316869701</v>
      </c>
      <c r="U2" s="6">
        <v>3.7499999999999998E-19</v>
      </c>
      <c r="V2" s="6">
        <v>2.6474728871391598E-16</v>
      </c>
      <c r="W2" s="6">
        <v>1.6300000000000001E-15</v>
      </c>
      <c r="X2" s="6">
        <v>3.3899999999999997E-5</v>
      </c>
      <c r="Y2" s="6">
        <v>4.0541200000000001E-4</v>
      </c>
      <c r="Z2" s="6">
        <v>4.10004613</v>
      </c>
      <c r="AA2" s="6">
        <v>11.966654849999999</v>
      </c>
      <c r="AB2" s="6">
        <f t="shared" ref="AB2:AB13" si="1">Y2/(2*PI()*W2)</f>
        <v>39584861220.105194</v>
      </c>
      <c r="AC2" s="6">
        <f>ABS(P2)/$A$17</f>
        <v>82.416666666666671</v>
      </c>
      <c r="AD2" s="2" t="s">
        <v>20</v>
      </c>
      <c r="AF2" s="1"/>
      <c r="AG2" s="1"/>
      <c r="AH2" s="1"/>
      <c r="AJ2" s="1"/>
      <c r="AK2" s="1"/>
      <c r="AL2" s="1"/>
      <c r="AM2" s="1"/>
      <c r="AN2" s="1"/>
    </row>
    <row r="3" spans="1:41" x14ac:dyDescent="0.25">
      <c r="A3">
        <v>2</v>
      </c>
      <c r="B3" s="1">
        <v>1.49395E-4</v>
      </c>
      <c r="C3" s="1">
        <v>0.56185763600000005</v>
      </c>
      <c r="D3" s="1">
        <v>0.282950545</v>
      </c>
      <c r="E3" s="1">
        <v>0.56185763600000005</v>
      </c>
      <c r="F3" s="1">
        <v>0.203037628</v>
      </c>
      <c r="G3" s="1">
        <v>7.34E-19</v>
      </c>
      <c r="H3" s="1">
        <v>3.1035809888576501E-16</v>
      </c>
      <c r="I3" s="1">
        <v>1.7299999999999999E-15</v>
      </c>
      <c r="J3" s="1">
        <v>4.6999999999999997E-5</v>
      </c>
      <c r="K3" s="1">
        <v>8.8207200000000002E-4</v>
      </c>
      <c r="L3" s="1">
        <v>5.9042906989999997</v>
      </c>
      <c r="M3" s="1">
        <v>18.766354870000001</v>
      </c>
      <c r="N3" s="1">
        <f t="shared" si="0"/>
        <v>81148045643.326187</v>
      </c>
      <c r="O3" s="1">
        <f>B3/$A$17</f>
        <v>124.49583333333334</v>
      </c>
      <c r="P3" s="1">
        <v>-1.4939400000000001E-4</v>
      </c>
      <c r="Q3" s="1">
        <v>-0.63814236400000002</v>
      </c>
      <c r="R3" s="1">
        <v>-0.32591982400000002</v>
      </c>
      <c r="S3" s="1">
        <v>-0.63814236400000002</v>
      </c>
      <c r="T3" s="1">
        <v>-0.27304075999999999</v>
      </c>
      <c r="U3" s="1">
        <v>1.09E-18</v>
      </c>
      <c r="V3" s="1">
        <v>5.2519103550803399E-16</v>
      </c>
      <c r="W3" s="1">
        <v>3.1900000000000002E-15</v>
      </c>
      <c r="X3" s="1">
        <v>5.66E-5</v>
      </c>
      <c r="Y3" s="1">
        <v>7.3517799999999996E-4</v>
      </c>
      <c r="Z3" s="1">
        <v>4.9210549549999998</v>
      </c>
      <c r="AA3" s="1">
        <v>12.98280963</v>
      </c>
      <c r="AB3" s="1">
        <f t="shared" si="1"/>
        <v>36679377038.374115</v>
      </c>
      <c r="AC3" s="10">
        <f t="shared" ref="AC3:AC13" si="2">ABS(P3)/$A$17</f>
        <v>124.49500000000002</v>
      </c>
      <c r="AD3" s="2" t="s">
        <v>21</v>
      </c>
      <c r="AF3" s="1"/>
      <c r="AG3" s="1"/>
      <c r="AH3" s="1"/>
      <c r="AJ3" s="1"/>
      <c r="AK3" s="1"/>
      <c r="AL3" s="1"/>
      <c r="AM3" s="1"/>
      <c r="AN3" s="1"/>
    </row>
    <row r="4" spans="1:41" x14ac:dyDescent="0.25">
      <c r="A4" s="5">
        <v>2.625</v>
      </c>
      <c r="B4" s="6">
        <v>1.7186418392575099E-4</v>
      </c>
      <c r="C4" s="6">
        <v>0.58554128835557495</v>
      </c>
      <c r="D4" s="6">
        <v>0.28298790783609501</v>
      </c>
      <c r="E4" s="6">
        <v>0.58554128835557495</v>
      </c>
      <c r="F4" s="6">
        <v>0.21750001385829501</v>
      </c>
      <c r="G4" s="6">
        <v>6.3003470612532003E-19</v>
      </c>
      <c r="H4" s="6">
        <v>3.10468768680262E-16</v>
      </c>
      <c r="I4" s="6">
        <v>1.74809006665253E-15</v>
      </c>
      <c r="J4" s="6">
        <v>5.1200294519206303E-5</v>
      </c>
      <c r="K4" s="6">
        <v>9.1704396816714203E-4</v>
      </c>
      <c r="L4" s="6">
        <v>5.3358535257721504</v>
      </c>
      <c r="M4" s="6">
        <v>17.910911973819498</v>
      </c>
      <c r="N4" s="6">
        <f t="shared" si="0"/>
        <v>83492311609.490112</v>
      </c>
      <c r="O4" s="6">
        <f>B4/$A$17</f>
        <v>143.22015327145917</v>
      </c>
      <c r="P4" s="6">
        <v>-1.7186356117931999E-4</v>
      </c>
      <c r="Q4" s="6">
        <v>-0.614458711644424</v>
      </c>
      <c r="R4" s="6">
        <v>-0.32647484689465101</v>
      </c>
      <c r="S4" s="6">
        <v>-0.614458711644424</v>
      </c>
      <c r="T4" s="6">
        <v>-0.25532065384985497</v>
      </c>
      <c r="U4" s="6">
        <v>1.6481174832525999E-18</v>
      </c>
      <c r="V4" s="6">
        <v>6.8782971122038501E-16</v>
      </c>
      <c r="W4" s="6">
        <v>4.1460570598878302E-15</v>
      </c>
      <c r="X4" s="6">
        <v>6.8153123787912005E-5</v>
      </c>
      <c r="Y4" s="6">
        <v>9.1695154425061002E-4</v>
      </c>
      <c r="Z4" s="6">
        <v>5.3353254238890004</v>
      </c>
      <c r="AA4" s="6">
        <v>13.454284899751601</v>
      </c>
      <c r="AB4" s="6">
        <f t="shared" si="1"/>
        <v>35199074382.053886</v>
      </c>
      <c r="AC4" s="6">
        <f t="shared" si="2"/>
        <v>143.21963431610001</v>
      </c>
      <c r="AD4" s="2" t="s">
        <v>22</v>
      </c>
      <c r="AF4" s="1"/>
      <c r="AG4" s="1"/>
      <c r="AH4" s="1"/>
      <c r="AJ4" s="1"/>
      <c r="AK4" s="1"/>
      <c r="AL4" s="1"/>
      <c r="AM4" s="1"/>
      <c r="AN4" s="1"/>
    </row>
    <row r="5" spans="1:41" x14ac:dyDescent="0.25">
      <c r="A5">
        <v>3</v>
      </c>
      <c r="B5" s="1">
        <v>1.8328299999999999E-4</v>
      </c>
      <c r="C5" s="1">
        <v>0.59723116899999995</v>
      </c>
      <c r="D5" s="1">
        <v>0.283006808</v>
      </c>
      <c r="E5" s="1">
        <v>0.59723116899999995</v>
      </c>
      <c r="F5" s="1">
        <v>0.22456456499999999</v>
      </c>
      <c r="G5" s="1">
        <v>5.83E-19</v>
      </c>
      <c r="H5" s="1">
        <v>3.1052126657147702E-16</v>
      </c>
      <c r="I5" s="1">
        <v>1.76E-15</v>
      </c>
      <c r="J5" s="1">
        <v>5.3199999999999999E-5</v>
      </c>
      <c r="K5" s="1">
        <v>9.3267299999999997E-4</v>
      </c>
      <c r="L5" s="1">
        <v>5.0886883889999996</v>
      </c>
      <c r="M5" s="1">
        <v>17.51659669</v>
      </c>
      <c r="N5" s="1">
        <f t="shared" si="0"/>
        <v>84340635362.697327</v>
      </c>
      <c r="O5" s="1">
        <f>B5/$A$17</f>
        <v>152.73583333333332</v>
      </c>
      <c r="P5" s="1">
        <v>-1.8328299999999999E-4</v>
      </c>
      <c r="Q5" s="1">
        <v>-0.602768831</v>
      </c>
      <c r="R5" s="1">
        <v>-0.32675295500000001</v>
      </c>
      <c r="S5" s="1">
        <v>-0.602768831</v>
      </c>
      <c r="T5" s="1">
        <v>-0.246619067</v>
      </c>
      <c r="U5" s="1">
        <v>2.0100000000000001E-18</v>
      </c>
      <c r="V5" s="1">
        <v>7.8536259416801496E-16</v>
      </c>
      <c r="W5" s="1">
        <v>4.7099999999999996E-15</v>
      </c>
      <c r="X5" s="1">
        <v>7.4400000000000006E-5</v>
      </c>
      <c r="Y5" s="1">
        <v>1.0190139999999999E-3</v>
      </c>
      <c r="Z5" s="1">
        <v>5.559773249</v>
      </c>
      <c r="AA5" s="1">
        <v>13.69973894</v>
      </c>
      <c r="AB5" s="1">
        <f t="shared" si="1"/>
        <v>34433357787.652794</v>
      </c>
      <c r="AC5" s="10">
        <f t="shared" si="2"/>
        <v>152.73583333333332</v>
      </c>
      <c r="AD5" s="2" t="s">
        <v>23</v>
      </c>
      <c r="AF5" s="1"/>
      <c r="AG5" s="1"/>
      <c r="AH5" s="1"/>
      <c r="AJ5" s="1"/>
      <c r="AK5" s="1"/>
      <c r="AL5" s="1"/>
      <c r="AM5" s="1"/>
      <c r="AN5" s="1"/>
    </row>
    <row r="6" spans="1:41" x14ac:dyDescent="0.25">
      <c r="A6" s="5">
        <v>3.625</v>
      </c>
      <c r="B6" s="6">
        <v>1.9979026024356401E-4</v>
      </c>
      <c r="C6" s="6">
        <v>0.61378072703085595</v>
      </c>
      <c r="D6" s="6">
        <v>0.28303408350299197</v>
      </c>
      <c r="E6" s="6">
        <v>0.61378072703085595</v>
      </c>
      <c r="F6" s="6">
        <v>0.234488585930448</v>
      </c>
      <c r="G6" s="6">
        <v>5.19644797312807E-19</v>
      </c>
      <c r="H6" s="6">
        <v>3.1059351275886899E-16</v>
      </c>
      <c r="I6" s="6">
        <v>1.76486794310825E-15</v>
      </c>
      <c r="J6" s="6">
        <v>5.6107934506070803E-5</v>
      </c>
      <c r="K6" s="6">
        <v>9.5322041145712202E-4</v>
      </c>
      <c r="L6" s="6">
        <v>4.7710956640547701</v>
      </c>
      <c r="M6" s="6">
        <v>16.989048337788699</v>
      </c>
      <c r="N6" s="6">
        <f t="shared" si="0"/>
        <v>85960958683.573334</v>
      </c>
      <c r="O6" s="6">
        <f>B6/$A$17</f>
        <v>166.49188353630336</v>
      </c>
      <c r="P6" s="6">
        <v>-1.9978955546899401E-4</v>
      </c>
      <c r="Q6" s="6">
        <v>-0.586219272969143</v>
      </c>
      <c r="R6" s="6">
        <v>-0.32713993837356198</v>
      </c>
      <c r="S6" s="6">
        <v>-0.586219272969143</v>
      </c>
      <c r="T6" s="6">
        <v>-0.23435845511841699</v>
      </c>
      <c r="U6" s="6">
        <v>2.6614104585540302E-18</v>
      </c>
      <c r="V6" s="6">
        <v>9.4784138473364406E-16</v>
      </c>
      <c r="W6" s="6">
        <v>5.6410212386948297E-15</v>
      </c>
      <c r="X6" s="6">
        <v>8.3863689484435494E-5</v>
      </c>
      <c r="Y6" s="6">
        <v>1.17923021407353E-3</v>
      </c>
      <c r="Z6" s="6">
        <v>5.9023384964687802</v>
      </c>
      <c r="AA6" s="6">
        <v>14.0612727787559</v>
      </c>
      <c r="AB6" s="6">
        <f t="shared" si="1"/>
        <v>33270627723.525478</v>
      </c>
      <c r="AC6" s="6">
        <f t="shared" si="2"/>
        <v>166.49129622416169</v>
      </c>
      <c r="AD6" s="2" t="s">
        <v>24</v>
      </c>
      <c r="AF6" s="1"/>
      <c r="AG6" s="1"/>
      <c r="AH6" s="1"/>
      <c r="AJ6" s="1"/>
      <c r="AK6" s="1"/>
      <c r="AL6" s="1"/>
      <c r="AM6" s="1"/>
      <c r="AN6" s="1"/>
    </row>
    <row r="7" spans="1:41" x14ac:dyDescent="0.25">
      <c r="A7">
        <v>4</v>
      </c>
      <c r="B7" s="1">
        <v>2.0849E-4</v>
      </c>
      <c r="C7" s="1">
        <v>0.62235415699999996</v>
      </c>
      <c r="D7" s="1">
        <v>0.28304845200000001</v>
      </c>
      <c r="E7" s="1">
        <v>0.62235415699999996</v>
      </c>
      <c r="F7" s="1">
        <v>0.23959634299999999</v>
      </c>
      <c r="G7" s="1">
        <v>4.8899999999999996E-19</v>
      </c>
      <c r="H7" s="1">
        <v>3.1063008005645499E-16</v>
      </c>
      <c r="I7" s="1">
        <v>1.77E-15</v>
      </c>
      <c r="J7" s="1">
        <v>5.7599999999999997E-5</v>
      </c>
      <c r="K7" s="1">
        <v>9.6320900000000003E-4</v>
      </c>
      <c r="L7" s="1">
        <v>4.6199186970000001</v>
      </c>
      <c r="M7" s="1">
        <v>16.729366750000001</v>
      </c>
      <c r="N7" s="1">
        <f t="shared" si="0"/>
        <v>86609872079.435837</v>
      </c>
      <c r="O7" s="1">
        <f>B7/$A$17</f>
        <v>173.74166666666667</v>
      </c>
      <c r="P7" s="1">
        <v>-2.0849E-4</v>
      </c>
      <c r="Q7" s="1">
        <v>-0.57764584299999999</v>
      </c>
      <c r="R7" s="1">
        <v>-0.32733453299999998</v>
      </c>
      <c r="S7" s="1">
        <v>-0.57764584299999999</v>
      </c>
      <c r="T7" s="1">
        <v>-0.22803727700000001</v>
      </c>
      <c r="U7" s="1">
        <v>3.0699999999999998E-18</v>
      </c>
      <c r="V7" s="1">
        <v>1.0452868349067699E-15</v>
      </c>
      <c r="W7" s="1">
        <v>6.19E-15</v>
      </c>
      <c r="X7" s="1">
        <v>8.9099999999999997E-5</v>
      </c>
      <c r="Y7" s="1">
        <v>1.2701259999999999E-3</v>
      </c>
      <c r="Z7" s="1">
        <v>6.0920127390000003</v>
      </c>
      <c r="AA7" s="1">
        <v>14.25474036</v>
      </c>
      <c r="AB7" s="1">
        <f t="shared" si="1"/>
        <v>32657000201.863758</v>
      </c>
      <c r="AC7" s="10">
        <f t="shared" si="2"/>
        <v>173.74166666666667</v>
      </c>
      <c r="AD7" s="2" t="s">
        <v>25</v>
      </c>
      <c r="AF7" s="1"/>
      <c r="AG7" s="1"/>
      <c r="AH7" s="1"/>
      <c r="AJ7" s="1"/>
      <c r="AK7" s="1"/>
      <c r="AL7" s="1"/>
      <c r="AM7" s="1"/>
      <c r="AN7" s="1"/>
    </row>
    <row r="8" spans="1:41" x14ac:dyDescent="0.25">
      <c r="A8" s="5">
        <v>5</v>
      </c>
      <c r="B8" s="6">
        <v>2.2838900000000001E-4</v>
      </c>
      <c r="C8" s="6">
        <v>0.64162196900000001</v>
      </c>
      <c r="D8" s="6">
        <v>0.28308133699999999</v>
      </c>
      <c r="E8" s="6">
        <v>0.64162196900000001</v>
      </c>
      <c r="F8" s="6">
        <v>0.25099985200000002</v>
      </c>
      <c r="G8" s="6">
        <v>4.2400000000000002E-19</v>
      </c>
      <c r="H8" s="6">
        <v>3.1071038515136299E-16</v>
      </c>
      <c r="I8" s="6">
        <v>1.7800000000000001E-15</v>
      </c>
      <c r="J8" s="6">
        <v>6.0800000000000001E-5</v>
      </c>
      <c r="K8" s="6">
        <v>9.8420699999999996E-4</v>
      </c>
      <c r="L8" s="6">
        <v>4.309344447</v>
      </c>
      <c r="M8" s="6">
        <v>16.177677549999999</v>
      </c>
      <c r="N8" s="6">
        <f t="shared" si="0"/>
        <v>88000791615.530899</v>
      </c>
      <c r="O8" s="6">
        <f>B8/$A$17</f>
        <v>190.32416666666668</v>
      </c>
      <c r="P8" s="6">
        <v>-2.28388E-4</v>
      </c>
      <c r="Q8" s="6">
        <v>-0.55837803100000005</v>
      </c>
      <c r="R8" s="6">
        <v>-0.32775092700000003</v>
      </c>
      <c r="S8" s="6">
        <v>-0.55837803100000005</v>
      </c>
      <c r="T8" s="6">
        <v>-0.21392023299999999</v>
      </c>
      <c r="U8" s="6">
        <v>4.2399999999999998E-18</v>
      </c>
      <c r="V8" s="6">
        <v>1.3050052143133301E-15</v>
      </c>
      <c r="W8" s="6">
        <v>7.6499999999999993E-15</v>
      </c>
      <c r="X8" s="6">
        <v>1.01759E-4</v>
      </c>
      <c r="Y8" s="6">
        <v>1.4961989999999999E-3</v>
      </c>
      <c r="Z8" s="6">
        <v>6.5511029120000002</v>
      </c>
      <c r="AA8" s="6">
        <v>14.703415440000001</v>
      </c>
      <c r="AB8" s="6">
        <f t="shared" si="1"/>
        <v>31127773424.725586</v>
      </c>
      <c r="AC8" s="6">
        <f t="shared" si="2"/>
        <v>190.32333333333335</v>
      </c>
      <c r="AD8" s="2" t="s">
        <v>26</v>
      </c>
      <c r="AF8" s="1"/>
      <c r="AG8" s="1"/>
      <c r="AH8" s="1"/>
      <c r="AJ8" s="1"/>
      <c r="AK8" s="1"/>
      <c r="AL8" s="1"/>
      <c r="AM8" s="1"/>
      <c r="AN8" s="1"/>
    </row>
    <row r="9" spans="1:41" x14ac:dyDescent="0.25">
      <c r="A9">
        <v>6</v>
      </c>
      <c r="B9" s="1">
        <v>2.44725E-4</v>
      </c>
      <c r="C9" s="1">
        <v>0.65712299699999999</v>
      </c>
      <c r="D9" s="1">
        <v>0.28310838999999999</v>
      </c>
      <c r="E9" s="1">
        <v>0.65712299699999999</v>
      </c>
      <c r="F9" s="1">
        <v>0.26010553800000003</v>
      </c>
      <c r="G9" s="1">
        <v>3.7600000000000001E-19</v>
      </c>
      <c r="H9" s="1">
        <v>3.1077333927414E-16</v>
      </c>
      <c r="I9" s="1">
        <v>1.7899999999999999E-15</v>
      </c>
      <c r="J9" s="1">
        <v>6.3399999999999996E-5</v>
      </c>
      <c r="K9" s="1">
        <v>9.997859999999999E-4</v>
      </c>
      <c r="L9" s="1">
        <v>4.0853429669999999</v>
      </c>
      <c r="M9" s="1">
        <v>15.763749969999999</v>
      </c>
      <c r="N9" s="1">
        <f t="shared" si="0"/>
        <v>88894348566.521591</v>
      </c>
      <c r="O9" s="1">
        <f>B9/$A$17</f>
        <v>203.9375</v>
      </c>
      <c r="P9" s="1">
        <v>-2.4472399999999998E-4</v>
      </c>
      <c r="Q9" s="1">
        <v>-0.54287700299999997</v>
      </c>
      <c r="R9" s="1">
        <v>-0.328060448</v>
      </c>
      <c r="S9" s="1">
        <v>-0.54287700299999997</v>
      </c>
      <c r="T9" s="1">
        <v>-0.202669144</v>
      </c>
      <c r="U9" s="1">
        <v>5.4900000000000001E-18</v>
      </c>
      <c r="V9" s="1">
        <v>1.5645494722472301E-15</v>
      </c>
      <c r="W9" s="1">
        <v>9.0699999999999995E-15</v>
      </c>
      <c r="X9" s="1">
        <v>1.12911E-4</v>
      </c>
      <c r="Y9" s="1">
        <v>1.7022599999999999E-3</v>
      </c>
      <c r="Z9" s="1">
        <v>6.955813805</v>
      </c>
      <c r="AA9" s="1">
        <v>15.07606017</v>
      </c>
      <c r="AB9" s="1">
        <f t="shared" si="1"/>
        <v>29870241833.253559</v>
      </c>
      <c r="AC9" s="10">
        <f t="shared" si="2"/>
        <v>203.93666666666667</v>
      </c>
      <c r="AD9" s="2" t="s">
        <v>27</v>
      </c>
      <c r="AF9" s="1"/>
      <c r="AG9" s="1"/>
      <c r="AH9" s="1"/>
      <c r="AJ9" s="1"/>
      <c r="AK9" s="1"/>
      <c r="AL9" s="1"/>
      <c r="AM9" s="1"/>
      <c r="AN9" s="1"/>
    </row>
    <row r="10" spans="1:41" x14ac:dyDescent="0.25">
      <c r="A10" s="5">
        <v>7</v>
      </c>
      <c r="B10" s="6">
        <v>2.5851599999999998E-4</v>
      </c>
      <c r="C10" s="6">
        <v>0.67001180000000005</v>
      </c>
      <c r="D10" s="6">
        <v>0.28313128799999998</v>
      </c>
      <c r="E10" s="6">
        <v>0.67001180000000005</v>
      </c>
      <c r="F10" s="6">
        <v>0.26763579500000001</v>
      </c>
      <c r="G10" s="6">
        <v>3.3899999999999999E-19</v>
      </c>
      <c r="H10" s="6">
        <v>3.1082471916929898E-16</v>
      </c>
      <c r="I10" s="6">
        <v>1.7899999999999999E-15</v>
      </c>
      <c r="J10" s="6">
        <v>6.5500000000000006E-5</v>
      </c>
      <c r="K10" s="6">
        <v>1.011936E-3</v>
      </c>
      <c r="L10" s="6">
        <v>3.9143931439999999</v>
      </c>
      <c r="M10" s="6">
        <v>15.438229160000001</v>
      </c>
      <c r="N10" s="6">
        <f t="shared" si="0"/>
        <v>89974646085.273849</v>
      </c>
      <c r="O10" s="6">
        <f>B10/$A$17</f>
        <v>215.42999999999998</v>
      </c>
      <c r="P10" s="6">
        <v>-2.5851500000000001E-4</v>
      </c>
      <c r="Q10" s="6">
        <v>-0.52998820000000002</v>
      </c>
      <c r="R10" s="6">
        <v>-0.32829814400000001</v>
      </c>
      <c r="S10" s="6">
        <v>-0.52998820000000002</v>
      </c>
      <c r="T10" s="6">
        <v>-0.19340121800000001</v>
      </c>
      <c r="U10" s="6">
        <v>6.81E-18</v>
      </c>
      <c r="V10" s="6">
        <v>1.8239434236499202E-15</v>
      </c>
      <c r="W10" s="6">
        <v>1.0499999999999999E-14</v>
      </c>
      <c r="X10" s="6">
        <v>1.22915E-4</v>
      </c>
      <c r="Y10" s="6">
        <v>1.89185E-3</v>
      </c>
      <c r="Z10" s="6">
        <v>7.3181024150000002</v>
      </c>
      <c r="AA10" s="6">
        <v>15.391499420000001</v>
      </c>
      <c r="AB10" s="6">
        <f t="shared" si="1"/>
        <v>28675931341.752594</v>
      </c>
      <c r="AC10" s="6">
        <f t="shared" si="2"/>
        <v>215.42916666666667</v>
      </c>
      <c r="AD10" s="2" t="s">
        <v>28</v>
      </c>
      <c r="AF10" s="1"/>
      <c r="AG10" s="1"/>
      <c r="AH10" s="1"/>
      <c r="AJ10" s="1"/>
      <c r="AK10" s="1"/>
      <c r="AL10" s="1"/>
      <c r="AM10" s="1"/>
      <c r="AN10" s="1"/>
    </row>
    <row r="11" spans="1:41" x14ac:dyDescent="0.25">
      <c r="A11">
        <v>8</v>
      </c>
      <c r="B11" s="1">
        <v>2.7040700000000001E-4</v>
      </c>
      <c r="C11" s="1">
        <v>0.68099151599999996</v>
      </c>
      <c r="D11" s="1">
        <v>0.28315108300000003</v>
      </c>
      <c r="E11" s="1">
        <v>0.68099151599999996</v>
      </c>
      <c r="F11" s="1">
        <v>0.27402455100000001</v>
      </c>
      <c r="G11" s="1">
        <v>3.0800000000000002E-19</v>
      </c>
      <c r="H11" s="1">
        <v>3.1086787951767101E-16</v>
      </c>
      <c r="I11" s="1">
        <v>1.7899999999999999E-15</v>
      </c>
      <c r="J11" s="1">
        <v>6.7299999999999996E-5</v>
      </c>
      <c r="K11" s="1">
        <v>1.0217539999999999E-3</v>
      </c>
      <c r="L11" s="1">
        <v>3.7785721049999998</v>
      </c>
      <c r="M11" s="1">
        <v>15.173317219999999</v>
      </c>
      <c r="N11" s="1">
        <f t="shared" si="0"/>
        <v>90847597611.126495</v>
      </c>
      <c r="O11" s="1">
        <f>B11/$A$17</f>
        <v>225.3391666666667</v>
      </c>
      <c r="P11" s="1">
        <v>-2.70406E-4</v>
      </c>
      <c r="Q11" s="1">
        <v>-0.51900848399999999</v>
      </c>
      <c r="R11" s="1">
        <v>-0.32848562799999997</v>
      </c>
      <c r="S11" s="1">
        <v>-0.51900848399999999</v>
      </c>
      <c r="T11" s="1">
        <v>-0.185579152</v>
      </c>
      <c r="U11" s="1">
        <v>8.1900000000000003E-18</v>
      </c>
      <c r="V11" s="1">
        <v>2.0832053753200801E-15</v>
      </c>
      <c r="W11" s="1">
        <v>1.19E-14</v>
      </c>
      <c r="X11" s="1">
        <v>1.3200899999999999E-4</v>
      </c>
      <c r="Y11" s="1">
        <v>2.0675820000000001E-3</v>
      </c>
      <c r="Z11" s="1">
        <v>7.6461853099999999</v>
      </c>
      <c r="AA11" s="1">
        <v>15.662377940000001</v>
      </c>
      <c r="AB11" s="1">
        <f t="shared" si="1"/>
        <v>27652596264.523289</v>
      </c>
      <c r="AC11" s="10">
        <f t="shared" si="2"/>
        <v>225.33833333333334</v>
      </c>
      <c r="AD11" s="2" t="s">
        <v>29</v>
      </c>
      <c r="AF11" s="1"/>
      <c r="AG11" s="1"/>
      <c r="AH11" s="1"/>
      <c r="AJ11" s="1"/>
      <c r="AK11" s="1"/>
      <c r="AL11" s="1"/>
      <c r="AM11" s="1"/>
      <c r="AN11" s="1"/>
    </row>
    <row r="12" spans="1:41" x14ac:dyDescent="0.25">
      <c r="A12" s="5">
        <v>9</v>
      </c>
      <c r="B12" s="6">
        <v>2.80828E-4</v>
      </c>
      <c r="C12" s="6">
        <v>0.69052058999999999</v>
      </c>
      <c r="D12" s="6">
        <v>0.28316847899999997</v>
      </c>
      <c r="E12" s="6">
        <v>0.69052058999999999</v>
      </c>
      <c r="F12" s="6">
        <v>0.27955170699999998</v>
      </c>
      <c r="G12" s="6">
        <v>2.8399999999999999E-19</v>
      </c>
      <c r="H12" s="6">
        <v>3.1090493022077898E-16</v>
      </c>
      <c r="I12" s="6">
        <v>1.8000000000000001E-15</v>
      </c>
      <c r="J12" s="6">
        <v>6.8899999999999994E-5</v>
      </c>
      <c r="K12" s="6">
        <v>1.0299E-3</v>
      </c>
      <c r="L12" s="6">
        <v>3.6673635679999999</v>
      </c>
      <c r="M12" s="6">
        <v>14.95205707</v>
      </c>
      <c r="N12" s="6">
        <f t="shared" si="0"/>
        <v>91063153272.412781</v>
      </c>
      <c r="O12" s="6">
        <f>B12/$A$17</f>
        <v>234.02333333333334</v>
      </c>
      <c r="P12" s="6">
        <v>-2.8082699999999999E-4</v>
      </c>
      <c r="Q12" s="6">
        <v>-0.50947940999999997</v>
      </c>
      <c r="R12" s="6">
        <v>-0.32863678499999999</v>
      </c>
      <c r="S12" s="6">
        <v>-0.50947940999999997</v>
      </c>
      <c r="T12" s="6">
        <v>-0.17885279900000001</v>
      </c>
      <c r="U12" s="6">
        <v>9.6100000000000005E-18</v>
      </c>
      <c r="V12" s="6">
        <v>2.34234978176166E-15</v>
      </c>
      <c r="W12" s="6">
        <v>1.32E-14</v>
      </c>
      <c r="X12" s="6">
        <v>1.40364E-4</v>
      </c>
      <c r="Y12" s="6">
        <v>2.231462E-3</v>
      </c>
      <c r="Z12" s="6">
        <v>7.9460092209999997</v>
      </c>
      <c r="AA12" s="6">
        <v>15.897646760000001</v>
      </c>
      <c r="AB12" s="6">
        <f t="shared" si="1"/>
        <v>26905167244.070225</v>
      </c>
      <c r="AC12" s="6">
        <f t="shared" si="2"/>
        <v>234.02250000000001</v>
      </c>
      <c r="AD12" s="2" t="s">
        <v>30</v>
      </c>
      <c r="AF12" s="1"/>
      <c r="AG12" s="1"/>
      <c r="AH12" s="1"/>
      <c r="AJ12" s="1"/>
      <c r="AK12" s="1"/>
      <c r="AL12" s="1"/>
      <c r="AM12" s="1"/>
      <c r="AN12" s="1"/>
    </row>
    <row r="13" spans="1:41" x14ac:dyDescent="0.25">
      <c r="A13">
        <v>10</v>
      </c>
      <c r="B13" s="1">
        <v>2.9008199999999999E-4</v>
      </c>
      <c r="C13" s="1">
        <v>0.69891358400000003</v>
      </c>
      <c r="D13" s="1">
        <v>0.28318396699999998</v>
      </c>
      <c r="E13" s="1">
        <v>0.69891358400000003</v>
      </c>
      <c r="F13" s="1">
        <v>0.28440768399999999</v>
      </c>
      <c r="G13" s="1">
        <v>2.6300000000000002E-19</v>
      </c>
      <c r="H13" s="1">
        <v>3.1093727881737402E-16</v>
      </c>
      <c r="I13" s="1">
        <v>1.8000000000000001E-15</v>
      </c>
      <c r="J13" s="1">
        <v>7.0199999999999999E-5</v>
      </c>
      <c r="K13" s="1">
        <v>1.0368E-3</v>
      </c>
      <c r="L13" s="1">
        <v>3.5741575459999999</v>
      </c>
      <c r="M13" s="1">
        <v>14.7634585</v>
      </c>
      <c r="N13" s="1">
        <f t="shared" si="0"/>
        <v>91673247220.931717</v>
      </c>
      <c r="O13" s="1">
        <f>B13/$A$17</f>
        <v>241.73500000000001</v>
      </c>
      <c r="P13" s="1">
        <v>-2.9008000000000001E-4</v>
      </c>
      <c r="Q13" s="1">
        <v>-0.50108641600000003</v>
      </c>
      <c r="R13" s="1">
        <v>-0.32876088799999997</v>
      </c>
      <c r="S13" s="1">
        <v>-0.50108641600000003</v>
      </c>
      <c r="T13" s="1">
        <v>-0.172982041</v>
      </c>
      <c r="U13" s="1">
        <v>1.1099999999999999E-17</v>
      </c>
      <c r="V13" s="1">
        <v>2.6013883274806802E-15</v>
      </c>
      <c r="W13" s="1">
        <v>1.4599999999999999E-14</v>
      </c>
      <c r="X13" s="1">
        <v>1.4810499999999999E-4</v>
      </c>
      <c r="Y13" s="1">
        <v>2.385065E-3</v>
      </c>
      <c r="Z13" s="1">
        <v>8.2220446779999996</v>
      </c>
      <c r="AA13" s="1">
        <v>16.103888829999999</v>
      </c>
      <c r="AB13" s="1">
        <f t="shared" si="1"/>
        <v>25999649612.703518</v>
      </c>
      <c r="AC13" s="10">
        <f t="shared" si="2"/>
        <v>241.73333333333335</v>
      </c>
      <c r="AD13" s="2" t="s">
        <v>31</v>
      </c>
      <c r="AF13" s="1"/>
      <c r="AG13" s="1"/>
      <c r="AH13" s="1"/>
      <c r="AJ13" s="1"/>
      <c r="AK13" s="1"/>
      <c r="AL13" s="1"/>
      <c r="AM13" s="1"/>
      <c r="AN13" s="1"/>
    </row>
    <row r="14" spans="1:41" s="3" customFormat="1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44</v>
      </c>
      <c r="Z14" s="2" t="s">
        <v>16</v>
      </c>
      <c r="AA14" s="2" t="s">
        <v>17</v>
      </c>
      <c r="AB14" s="2" t="s">
        <v>18</v>
      </c>
      <c r="AC14" s="2" t="s">
        <v>19</v>
      </c>
      <c r="AE14" s="4"/>
      <c r="AF14" s="2"/>
      <c r="AG14" s="2"/>
      <c r="AH14" s="2"/>
      <c r="AN14" s="1"/>
    </row>
    <row r="15" spans="1:41" x14ac:dyDescent="0.25">
      <c r="A15" s="3"/>
      <c r="AO15" s="7"/>
    </row>
    <row r="16" spans="1:41" x14ac:dyDescent="0.25">
      <c r="A16" s="3" t="s">
        <v>13</v>
      </c>
      <c r="B16" s="3" t="s">
        <v>14</v>
      </c>
      <c r="C16" s="3" t="s">
        <v>15</v>
      </c>
    </row>
    <row r="17" spans="1:30" x14ac:dyDescent="0.25">
      <c r="A17" s="4">
        <v>1.1999999999999999E-6</v>
      </c>
      <c r="B17" s="4">
        <v>1.1999999999999999E-7</v>
      </c>
      <c r="C17" s="2">
        <f>A17/B17</f>
        <v>10</v>
      </c>
      <c r="AB17" s="1"/>
      <c r="AD17" s="1"/>
    </row>
    <row r="22" spans="1:30" x14ac:dyDescent="0.25">
      <c r="E22" s="1"/>
    </row>
    <row r="23" spans="1:30" x14ac:dyDescent="0.25">
      <c r="F23" s="1"/>
      <c r="I23" s="1"/>
    </row>
    <row r="25" spans="1:30" x14ac:dyDescent="0.25">
      <c r="W2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2A99-4997-4EE3-95DB-9D24F3A1096B}">
  <dimension ref="A1:AK17"/>
  <sheetViews>
    <sheetView zoomScale="85" zoomScaleNormal="85" workbookViewId="0">
      <selection activeCell="O2" sqref="O2:O13"/>
    </sheetView>
  </sheetViews>
  <sheetFormatPr defaultRowHeight="15" x14ac:dyDescent="0.25"/>
  <cols>
    <col min="1" max="1" width="9" customWidth="1"/>
    <col min="2" max="2" width="9.140625" customWidth="1"/>
    <col min="3" max="3" width="8.42578125" bestFit="1" customWidth="1"/>
    <col min="4" max="4" width="9" customWidth="1"/>
    <col min="5" max="6" width="8.5703125" customWidth="1"/>
    <col min="7" max="8" width="8.85546875" customWidth="1"/>
    <col min="20" max="20" width="9" customWidth="1"/>
    <col min="21" max="21" width="8.7109375" customWidth="1"/>
    <col min="22" max="22" width="8.42578125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45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10</v>
      </c>
      <c r="N1" s="3" t="s">
        <v>12</v>
      </c>
      <c r="O1" s="3" t="s">
        <v>46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45</v>
      </c>
      <c r="W1" s="3" t="s">
        <v>7</v>
      </c>
      <c r="X1" s="3" t="s">
        <v>8</v>
      </c>
      <c r="Y1" s="3" t="s">
        <v>9</v>
      </c>
      <c r="Z1" s="3" t="s">
        <v>11</v>
      </c>
      <c r="AA1" s="3" t="s">
        <v>10</v>
      </c>
      <c r="AB1" s="3" t="s">
        <v>12</v>
      </c>
      <c r="AC1" s="3" t="s">
        <v>46</v>
      </c>
    </row>
    <row r="2" spans="1:37" x14ac:dyDescent="0.25">
      <c r="A2" s="5">
        <v>1</v>
      </c>
      <c r="B2" s="6">
        <v>6.6600000000000006E-5</v>
      </c>
      <c r="C2" s="6">
        <v>0.47619616999999997</v>
      </c>
      <c r="D2" s="6">
        <v>0.18796427900000001</v>
      </c>
      <c r="E2" s="6">
        <v>0.47619616999999997</v>
      </c>
      <c r="F2" s="6">
        <v>0.20043108200000001</v>
      </c>
      <c r="G2" s="6">
        <v>1.8299999999999999E-18</v>
      </c>
      <c r="H2" s="6">
        <v>3.3142531580516602E-16</v>
      </c>
      <c r="I2" s="6">
        <v>3.7000000000000002E-15</v>
      </c>
      <c r="J2" s="6">
        <v>2.1399999999999998E-5</v>
      </c>
      <c r="K2" s="6">
        <v>4.9241900000000002E-4</v>
      </c>
      <c r="L2" s="6">
        <v>7.3989403879999998</v>
      </c>
      <c r="M2" s="6">
        <v>22.982660079999999</v>
      </c>
      <c r="N2" s="6">
        <f t="shared" ref="N2:N13" si="0">K2/(2*PI()*I2)</f>
        <v>21181329168.207573</v>
      </c>
      <c r="O2" s="6">
        <f>B2/$A$17</f>
        <v>55.500000000000007</v>
      </c>
      <c r="P2" s="6">
        <v>-6.6500000000000004E-5</v>
      </c>
      <c r="Q2" s="6">
        <v>-0.72380383000000004</v>
      </c>
      <c r="R2" s="6">
        <v>-0.27616616900000002</v>
      </c>
      <c r="S2" s="6">
        <v>-0.72380383000000004</v>
      </c>
      <c r="T2" s="6">
        <v>-0.38214626000000002</v>
      </c>
      <c r="U2" s="6">
        <v>5.0000000000000004E-19</v>
      </c>
      <c r="V2" s="6">
        <v>2.93456082196367E-16</v>
      </c>
      <c r="W2" s="6">
        <v>3.5000000000000001E-15</v>
      </c>
      <c r="X2" s="6">
        <v>1.8499999999999999E-5</v>
      </c>
      <c r="Y2" s="6">
        <v>2.36581E-4</v>
      </c>
      <c r="Z2" s="6">
        <v>3.5552380229999998</v>
      </c>
      <c r="AA2" s="6">
        <v>12.803486380000001</v>
      </c>
      <c r="AB2" s="8">
        <f t="shared" ref="AB2:AB13" si="1">Y2/(2*PI()*W2)</f>
        <v>10758010169.035341</v>
      </c>
      <c r="AC2" s="8">
        <f>ABS(P2)/$A$17</f>
        <v>55.416666666666671</v>
      </c>
      <c r="AD2" s="2" t="s">
        <v>20</v>
      </c>
      <c r="AF2" s="1"/>
      <c r="AG2" s="1"/>
      <c r="AH2" s="1"/>
      <c r="AJ2" s="1"/>
      <c r="AK2" s="1"/>
    </row>
    <row r="3" spans="1:37" x14ac:dyDescent="0.25">
      <c r="A3">
        <v>2</v>
      </c>
      <c r="B3" s="1">
        <v>1.02301E-4</v>
      </c>
      <c r="C3" s="1">
        <v>0.54013784600000003</v>
      </c>
      <c r="D3" s="1">
        <v>0.18842024199999999</v>
      </c>
      <c r="E3" s="1">
        <v>0.54013784600000003</v>
      </c>
      <c r="F3" s="1">
        <v>0.247297935</v>
      </c>
      <c r="G3" s="1">
        <v>9.7399999999999998E-19</v>
      </c>
      <c r="H3" s="1">
        <v>3.3248743789719602E-16</v>
      </c>
      <c r="I3" s="1">
        <v>3.8000000000000002E-15</v>
      </c>
      <c r="J3" s="1">
        <v>2.8900000000000001E-5</v>
      </c>
      <c r="K3" s="1">
        <v>5.7154000000000005E-4</v>
      </c>
      <c r="L3" s="1">
        <v>5.586813502</v>
      </c>
      <c r="M3" s="1">
        <v>19.78342164</v>
      </c>
      <c r="N3" s="1">
        <f t="shared" si="0"/>
        <v>23937741098.61628</v>
      </c>
      <c r="O3" s="1">
        <f>B3/$A$17</f>
        <v>85.250833333333333</v>
      </c>
      <c r="P3" s="1">
        <v>-1.02299E-4</v>
      </c>
      <c r="Q3" s="1">
        <v>-0.65986215400000003</v>
      </c>
      <c r="R3" s="1">
        <v>-0.275414832</v>
      </c>
      <c r="S3" s="1">
        <v>-0.65986215400000003</v>
      </c>
      <c r="T3" s="1">
        <v>-0.33119732099999999</v>
      </c>
      <c r="U3" s="1">
        <v>1.8199999999999999E-18</v>
      </c>
      <c r="V3" s="1">
        <v>5.8331149834709899E-16</v>
      </c>
      <c r="W3" s="1">
        <v>6.8799999999999998E-15</v>
      </c>
      <c r="X3" s="1">
        <v>3.0800000000000003E-5</v>
      </c>
      <c r="Y3" s="1">
        <v>4.2920399999999998E-4</v>
      </c>
      <c r="Z3" s="1">
        <v>4.1955441520000001</v>
      </c>
      <c r="AA3" s="1">
        <v>13.92807897</v>
      </c>
      <c r="AB3" s="1">
        <f t="shared" si="1"/>
        <v>9928770086.4555016</v>
      </c>
      <c r="AC3" s="11">
        <f t="shared" ref="AC3:AC13" si="2">ABS(P3)/$A$17</f>
        <v>85.249166666666667</v>
      </c>
      <c r="AD3" s="2" t="s">
        <v>21</v>
      </c>
      <c r="AF3" s="1"/>
      <c r="AG3" s="1"/>
      <c r="AH3" s="1"/>
      <c r="AJ3" s="1"/>
      <c r="AK3" s="1"/>
    </row>
    <row r="4" spans="1:37" x14ac:dyDescent="0.25">
      <c r="A4" s="5">
        <v>2.625</v>
      </c>
      <c r="B4" s="6">
        <v>1.1869526257269001E-4</v>
      </c>
      <c r="C4" s="6">
        <v>0.56677704711293098</v>
      </c>
      <c r="D4" s="6">
        <v>0.188612583999099</v>
      </c>
      <c r="E4" s="6">
        <v>0.56677704711293098</v>
      </c>
      <c r="F4" s="6">
        <v>0.26652664453624703</v>
      </c>
      <c r="G4" s="6">
        <v>6.9887019172027104E-19</v>
      </c>
      <c r="H4" s="6">
        <v>3.3286401177294602E-16</v>
      </c>
      <c r="I4" s="6">
        <v>3.8327586697630197E-15</v>
      </c>
      <c r="J4" s="6">
        <v>3.1989376968766303E-5</v>
      </c>
      <c r="K4" s="6">
        <v>5.9826977921139095E-4</v>
      </c>
      <c r="L4" s="6">
        <v>5.0403499157377896</v>
      </c>
      <c r="M4" s="6">
        <v>18.702139144364299</v>
      </c>
      <c r="N4" s="6">
        <f t="shared" si="0"/>
        <v>24843096283.408066</v>
      </c>
      <c r="O4" s="6">
        <f>B4/$A$17</f>
        <v>98.912718810575015</v>
      </c>
      <c r="P4" s="6">
        <v>-1.18693786995442E-4</v>
      </c>
      <c r="Q4" s="6">
        <v>-0.63322295288706798</v>
      </c>
      <c r="R4" s="6">
        <v>-0.275275650842844</v>
      </c>
      <c r="S4" s="6">
        <v>-0.63322295288706798</v>
      </c>
      <c r="T4" s="6">
        <v>-0.31036942210173701</v>
      </c>
      <c r="U4" s="6">
        <v>2.9408492887158199E-18</v>
      </c>
      <c r="V4" s="6">
        <v>7.6389171793091898E-16</v>
      </c>
      <c r="W4" s="6">
        <v>8.9641868927505805E-15</v>
      </c>
      <c r="X4" s="6">
        <v>3.7114318173451498E-5</v>
      </c>
      <c r="Y4" s="6">
        <v>5.37182834136293E-4</v>
      </c>
      <c r="Z4" s="6">
        <v>4.5257317236786099</v>
      </c>
      <c r="AA4" s="6">
        <v>14.473735759493101</v>
      </c>
      <c r="AB4" s="6">
        <f t="shared" si="1"/>
        <v>9537429821.5542107</v>
      </c>
      <c r="AC4" s="8">
        <f t="shared" si="2"/>
        <v>98.911489162868335</v>
      </c>
      <c r="AD4" s="2" t="s">
        <v>22</v>
      </c>
      <c r="AF4" s="1"/>
      <c r="AG4" s="1"/>
      <c r="AH4" s="1"/>
      <c r="AJ4" s="1"/>
      <c r="AK4" s="1"/>
    </row>
    <row r="5" spans="1:37" x14ac:dyDescent="0.25">
      <c r="A5">
        <v>3</v>
      </c>
      <c r="B5" s="1">
        <v>1.27133E-4</v>
      </c>
      <c r="C5" s="1">
        <v>0.580022225</v>
      </c>
      <c r="D5" s="1">
        <v>0.18870873699999999</v>
      </c>
      <c r="E5" s="1">
        <v>0.580022225</v>
      </c>
      <c r="F5" s="1">
        <v>0.27603409000000001</v>
      </c>
      <c r="G5" s="1">
        <v>5.7699999999999999E-19</v>
      </c>
      <c r="H5" s="1">
        <v>3.3304093251156698E-16</v>
      </c>
      <c r="I5" s="1">
        <v>3.8499999999999998E-15</v>
      </c>
      <c r="J5" s="1">
        <v>3.3500000000000001E-5</v>
      </c>
      <c r="K5" s="1">
        <v>6.1059099999999995E-4</v>
      </c>
      <c r="L5" s="1">
        <v>4.8027240710000001</v>
      </c>
      <c r="M5" s="1">
        <v>18.215399399999999</v>
      </c>
      <c r="N5" s="1">
        <f t="shared" si="0"/>
        <v>25241188534.395706</v>
      </c>
      <c r="O5" s="1">
        <f>B5/$A$17</f>
        <v>105.94416666666667</v>
      </c>
      <c r="P5" s="1">
        <v>-1.2713199999999999E-4</v>
      </c>
      <c r="Q5" s="1">
        <v>-0.61997777499999995</v>
      </c>
      <c r="R5" s="1">
        <v>-0.27522213299999998</v>
      </c>
      <c r="S5" s="1">
        <v>-0.61997777499999995</v>
      </c>
      <c r="T5" s="1">
        <v>-0.300080448</v>
      </c>
      <c r="U5" s="1">
        <v>3.7000000000000003E-18</v>
      </c>
      <c r="V5" s="1">
        <v>8.7206062216081298E-16</v>
      </c>
      <c r="W5" s="1">
        <v>1.02E-14</v>
      </c>
      <c r="X5" s="1">
        <v>4.0500000000000002E-5</v>
      </c>
      <c r="Y5" s="1">
        <v>5.9842499999999998E-4</v>
      </c>
      <c r="Z5" s="1">
        <v>4.7070637800000004</v>
      </c>
      <c r="AA5" s="1">
        <v>14.76667424</v>
      </c>
      <c r="AB5" s="1">
        <f t="shared" si="1"/>
        <v>9337480080.36936</v>
      </c>
      <c r="AC5" s="11">
        <f t="shared" si="2"/>
        <v>105.94333333333333</v>
      </c>
      <c r="AD5" s="2" t="s">
        <v>23</v>
      </c>
      <c r="AF5" s="1"/>
      <c r="AG5" s="1"/>
      <c r="AH5" s="1"/>
      <c r="AJ5" s="1"/>
      <c r="AK5" s="1"/>
    </row>
    <row r="6" spans="1:37" x14ac:dyDescent="0.25">
      <c r="A6" s="5">
        <v>3.625</v>
      </c>
      <c r="B6" s="6">
        <v>1.3944890806484101E-4</v>
      </c>
      <c r="C6" s="6">
        <v>0.59887031234204302</v>
      </c>
      <c r="D6" s="6">
        <v>0.18884615908539501</v>
      </c>
      <c r="E6" s="6">
        <v>0.59887031234204302</v>
      </c>
      <c r="F6" s="6">
        <v>0.28951538586527298</v>
      </c>
      <c r="G6" s="6">
        <v>4.1797951934387199E-19</v>
      </c>
      <c r="H6" s="6">
        <v>3.3328282494652701E-16</v>
      </c>
      <c r="I6" s="6">
        <v>3.8655548244857098E-15</v>
      </c>
      <c r="J6" s="6">
        <v>3.5685597382984803E-5</v>
      </c>
      <c r="K6" s="6">
        <v>6.27199635320627E-4</v>
      </c>
      <c r="L6" s="6">
        <v>4.4976700778142504</v>
      </c>
      <c r="M6" s="6">
        <v>17.575707885436199</v>
      </c>
      <c r="N6" s="6">
        <f t="shared" si="0"/>
        <v>25823439790.429733</v>
      </c>
      <c r="O6" s="6">
        <f>B6/$A$17</f>
        <v>116.20742338736751</v>
      </c>
      <c r="P6" s="6">
        <v>-1.39447328275275E-4</v>
      </c>
      <c r="Q6" s="6">
        <v>-0.60112968765795605</v>
      </c>
      <c r="R6" s="6">
        <v>-0.27515484775270399</v>
      </c>
      <c r="S6" s="6">
        <v>-0.60112968765795605</v>
      </c>
      <c r="T6" s="6">
        <v>-0.28550903574953401</v>
      </c>
      <c r="U6" s="6">
        <v>5.1054891988195E-18</v>
      </c>
      <c r="V6" s="6">
        <v>1.05207704866876E-15</v>
      </c>
      <c r="W6" s="6">
        <v>1.22422689488138E-14</v>
      </c>
      <c r="X6" s="6">
        <v>4.5722181243901499E-5</v>
      </c>
      <c r="Y6" s="6">
        <v>6.9549211323844003E-4</v>
      </c>
      <c r="Z6" s="6">
        <v>4.9874285139099603</v>
      </c>
      <c r="AA6" s="6">
        <v>15.211262768247799</v>
      </c>
      <c r="AB6" s="6">
        <f t="shared" si="1"/>
        <v>9041706906.3044243</v>
      </c>
      <c r="AC6" s="8">
        <f t="shared" si="2"/>
        <v>116.20610689606251</v>
      </c>
      <c r="AD6" s="2" t="s">
        <v>24</v>
      </c>
      <c r="AF6" s="1"/>
      <c r="AG6" s="1"/>
      <c r="AH6" s="1"/>
      <c r="AJ6" s="1"/>
      <c r="AK6" s="1"/>
    </row>
    <row r="7" spans="1:37" x14ac:dyDescent="0.25">
      <c r="A7">
        <v>4</v>
      </c>
      <c r="B7" s="1">
        <v>1.4599200000000001E-4</v>
      </c>
      <c r="C7" s="1">
        <v>0.60867441799999999</v>
      </c>
      <c r="D7" s="1">
        <v>0.18891791699999999</v>
      </c>
      <c r="E7" s="1">
        <v>0.60867441799999999</v>
      </c>
      <c r="F7" s="1">
        <v>0.29651030299999998</v>
      </c>
      <c r="G7" s="1">
        <v>3.4199999999999999E-19</v>
      </c>
      <c r="H7" s="1">
        <v>3.3340460680366998E-16</v>
      </c>
      <c r="I7" s="1">
        <v>3.8700000000000002E-15</v>
      </c>
      <c r="J7" s="1">
        <v>3.68E-5</v>
      </c>
      <c r="K7" s="1">
        <v>6.35459E-4</v>
      </c>
      <c r="L7" s="1">
        <v>4.3526577499999997</v>
      </c>
      <c r="M7" s="1">
        <v>17.26566687</v>
      </c>
      <c r="N7" s="1">
        <f t="shared" si="0"/>
        <v>26133447282.230679</v>
      </c>
      <c r="O7" s="1">
        <f>B7/$A$17</f>
        <v>121.66000000000001</v>
      </c>
      <c r="P7" s="1">
        <v>-1.4599099999999999E-4</v>
      </c>
      <c r="Q7" s="1">
        <v>-0.59132558199999996</v>
      </c>
      <c r="R7" s="1">
        <v>-0.27512179599999997</v>
      </c>
      <c r="S7" s="1">
        <v>-0.59132558199999996</v>
      </c>
      <c r="T7" s="1">
        <v>-0.27796087200000003</v>
      </c>
      <c r="U7" s="1">
        <v>6.0200000000000003E-18</v>
      </c>
      <c r="V7" s="1">
        <v>1.15994126333754E-15</v>
      </c>
      <c r="W7" s="1">
        <v>1.3499999999999999E-14</v>
      </c>
      <c r="X7" s="1">
        <v>4.8600000000000002E-5</v>
      </c>
      <c r="Y7" s="1">
        <v>7.5108100000000001E-4</v>
      </c>
      <c r="Z7" s="1">
        <v>5.1446475139999999</v>
      </c>
      <c r="AA7" s="1">
        <v>15.456382400000001</v>
      </c>
      <c r="AB7" s="1">
        <f t="shared" si="1"/>
        <v>8854685467.5854702</v>
      </c>
      <c r="AC7" s="11">
        <f t="shared" si="2"/>
        <v>121.65916666666666</v>
      </c>
      <c r="AD7" s="2" t="s">
        <v>25</v>
      </c>
      <c r="AF7" s="1"/>
      <c r="AG7" s="1"/>
      <c r="AH7" s="1"/>
      <c r="AJ7" s="1"/>
      <c r="AK7" s="1"/>
    </row>
    <row r="8" spans="1:37" x14ac:dyDescent="0.25">
      <c r="A8" s="5">
        <v>5</v>
      </c>
      <c r="B8" s="6">
        <v>1.6108299999999999E-4</v>
      </c>
      <c r="C8" s="6">
        <v>0.630790568</v>
      </c>
      <c r="D8" s="6">
        <v>0.18908048</v>
      </c>
      <c r="E8" s="6">
        <v>0.630790568</v>
      </c>
      <c r="F8" s="6">
        <v>0.31226000799999998</v>
      </c>
      <c r="G8" s="6">
        <v>1.85E-19</v>
      </c>
      <c r="H8" s="6">
        <v>3.3367056972622198E-16</v>
      </c>
      <c r="I8" s="6">
        <v>3.8899999999999997E-15</v>
      </c>
      <c r="J8" s="6">
        <v>3.93E-5</v>
      </c>
      <c r="K8" s="6">
        <v>6.5325500000000005E-4</v>
      </c>
      <c r="L8" s="6">
        <v>4.0553716709999996</v>
      </c>
      <c r="M8" s="6">
        <v>16.617617460000002</v>
      </c>
      <c r="N8" s="6">
        <f t="shared" si="0"/>
        <v>26727188264.651958</v>
      </c>
      <c r="O8" s="6">
        <f>B8/$A$17</f>
        <v>134.23583333333332</v>
      </c>
      <c r="P8" s="6">
        <v>-1.6108100000000001E-4</v>
      </c>
      <c r="Q8" s="6">
        <v>-0.56920943199999996</v>
      </c>
      <c r="R8" s="6">
        <v>-0.27504726699999998</v>
      </c>
      <c r="S8" s="6">
        <v>-0.56920943199999996</v>
      </c>
      <c r="T8" s="6">
        <v>-0.26101213000000001</v>
      </c>
      <c r="U8" s="6">
        <v>8.68E-18</v>
      </c>
      <c r="V8" s="6">
        <v>1.4471010138690099E-15</v>
      </c>
      <c r="W8" s="6">
        <v>1.6700000000000001E-14</v>
      </c>
      <c r="X8" s="6">
        <v>5.5500000000000001E-5</v>
      </c>
      <c r="Y8" s="6">
        <v>8.9101800000000004E-4</v>
      </c>
      <c r="Z8" s="6">
        <v>5.5314165879999999</v>
      </c>
      <c r="AA8" s="6">
        <v>16.047110780000001</v>
      </c>
      <c r="AB8" s="6">
        <f t="shared" si="1"/>
        <v>8491611921.1888866</v>
      </c>
      <c r="AC8" s="8">
        <f t="shared" si="2"/>
        <v>134.23416666666668</v>
      </c>
      <c r="AD8" s="2" t="s">
        <v>26</v>
      </c>
      <c r="AF8" s="1"/>
      <c r="AG8" s="1"/>
      <c r="AH8" s="1"/>
      <c r="AJ8" s="1"/>
      <c r="AK8" s="1"/>
    </row>
    <row r="9" spans="1:37" x14ac:dyDescent="0.25">
      <c r="A9">
        <v>6</v>
      </c>
      <c r="B9" s="1">
        <v>1.7358599999999999E-4</v>
      </c>
      <c r="C9" s="1">
        <v>0.64864701400000002</v>
      </c>
      <c r="D9" s="1">
        <v>0.18921243200000001</v>
      </c>
      <c r="E9" s="1">
        <v>0.64864701400000002</v>
      </c>
      <c r="F9" s="1">
        <v>0.32496099499999997</v>
      </c>
      <c r="G9" s="1">
        <v>7.2399999999999996E-20</v>
      </c>
      <c r="H9" s="1">
        <v>3.3387763115877499E-16</v>
      </c>
      <c r="I9" s="1">
        <v>3.91E-15</v>
      </c>
      <c r="J9" s="1">
        <v>4.1300000000000001E-5</v>
      </c>
      <c r="K9" s="1">
        <v>6.6686700000000002E-4</v>
      </c>
      <c r="L9" s="1">
        <v>3.841670675</v>
      </c>
      <c r="M9" s="1">
        <v>16.14087747</v>
      </c>
      <c r="N9" s="1">
        <f t="shared" si="0"/>
        <v>27144547170.041683</v>
      </c>
      <c r="O9" s="1">
        <f>B9/$A$17</f>
        <v>144.655</v>
      </c>
      <c r="P9" s="1">
        <v>-1.73585E-4</v>
      </c>
      <c r="Q9" s="1">
        <v>-0.55135298600000004</v>
      </c>
      <c r="R9" s="1">
        <v>-0.27498372700000001</v>
      </c>
      <c r="S9" s="1">
        <v>-0.55135298600000004</v>
      </c>
      <c r="T9" s="1">
        <v>-0.24741015199999999</v>
      </c>
      <c r="U9" s="1">
        <v>1.16E-17</v>
      </c>
      <c r="V9" s="1">
        <v>1.73363916265814E-15</v>
      </c>
      <c r="W9" s="1">
        <v>1.9800000000000001E-14</v>
      </c>
      <c r="X9" s="1">
        <v>6.1600000000000007E-5</v>
      </c>
      <c r="Y9" s="1">
        <v>1.0207129999999999E-3</v>
      </c>
      <c r="Z9" s="1">
        <v>5.8801292109999999</v>
      </c>
      <c r="AA9" s="1">
        <v>16.565069390000001</v>
      </c>
      <c r="AB9" s="1">
        <f t="shared" si="1"/>
        <v>8204622193.3413</v>
      </c>
      <c r="AC9" s="11">
        <f t="shared" si="2"/>
        <v>144.65416666666667</v>
      </c>
      <c r="AD9" s="2" t="s">
        <v>27</v>
      </c>
      <c r="AF9" s="1"/>
      <c r="AG9" s="1"/>
      <c r="AH9" s="1"/>
      <c r="AJ9" s="1"/>
      <c r="AK9" s="1"/>
    </row>
    <row r="10" spans="1:37" x14ac:dyDescent="0.25">
      <c r="A10" s="5">
        <v>7</v>
      </c>
      <c r="B10" s="6">
        <v>1.8421099999999999E-4</v>
      </c>
      <c r="C10" s="6">
        <v>0.66352140199999998</v>
      </c>
      <c r="D10" s="6">
        <v>0.189322824</v>
      </c>
      <c r="E10" s="6">
        <v>0.66352140199999998</v>
      </c>
      <c r="F10" s="6">
        <v>0.33554121799999997</v>
      </c>
      <c r="G10" s="6">
        <v>1.31E-20</v>
      </c>
      <c r="H10" s="6">
        <v>3.34045630579851E-16</v>
      </c>
      <c r="I10" s="6">
        <v>3.9199999999999998E-15</v>
      </c>
      <c r="J10" s="6">
        <v>4.3000000000000002E-5</v>
      </c>
      <c r="K10" s="6">
        <v>6.7774000000000003E-4</v>
      </c>
      <c r="L10" s="6">
        <v>3.679123363</v>
      </c>
      <c r="M10" s="6">
        <v>15.7716601</v>
      </c>
      <c r="N10" s="6">
        <f t="shared" si="0"/>
        <v>27516752839.566624</v>
      </c>
      <c r="O10" s="6">
        <f>B10/$A$17</f>
        <v>153.50916666666666</v>
      </c>
      <c r="P10" s="6">
        <v>-1.8420900000000001E-4</v>
      </c>
      <c r="Q10" s="6">
        <v>-0.53647859799999997</v>
      </c>
      <c r="R10" s="6">
        <v>-0.27492670200000002</v>
      </c>
      <c r="S10" s="6">
        <v>-0.53647859799999997</v>
      </c>
      <c r="T10" s="6">
        <v>-0.23614075100000001</v>
      </c>
      <c r="U10" s="6">
        <v>1.4800000000000001E-17</v>
      </c>
      <c r="V10" s="6">
        <v>2.0196279445742601E-15</v>
      </c>
      <c r="W10" s="6">
        <v>2.3E-14</v>
      </c>
      <c r="X10" s="6">
        <v>6.7100000000000005E-5</v>
      </c>
      <c r="Y10" s="6">
        <v>1.1418940000000001E-3</v>
      </c>
      <c r="Z10" s="6">
        <v>6.1988265489999996</v>
      </c>
      <c r="AA10" s="6">
        <v>17.026413420000001</v>
      </c>
      <c r="AB10" s="6">
        <f t="shared" si="1"/>
        <v>7901655416.8250761</v>
      </c>
      <c r="AC10" s="8">
        <f t="shared" si="2"/>
        <v>153.50750000000002</v>
      </c>
      <c r="AD10" s="2" t="s">
        <v>28</v>
      </c>
      <c r="AF10" s="1"/>
      <c r="AG10" s="1"/>
      <c r="AH10" s="1"/>
      <c r="AJ10" s="1"/>
      <c r="AK10" s="1"/>
    </row>
    <row r="11" spans="1:37" x14ac:dyDescent="0.25">
      <c r="A11">
        <v>8</v>
      </c>
      <c r="B11" s="1">
        <v>1.93413E-4</v>
      </c>
      <c r="C11" s="1">
        <v>0.67620107500000004</v>
      </c>
      <c r="D11" s="1">
        <v>0.189417268</v>
      </c>
      <c r="E11" s="1">
        <v>0.67620107500000004</v>
      </c>
      <c r="F11" s="1">
        <v>0.34456669499999998</v>
      </c>
      <c r="G11" s="1">
        <v>8.05E-20</v>
      </c>
      <c r="H11" s="1">
        <v>3.3418600360490998E-16</v>
      </c>
      <c r="I11" s="1">
        <v>3.9300000000000004E-15</v>
      </c>
      <c r="J11" s="1">
        <v>4.4400000000000002E-5</v>
      </c>
      <c r="K11" s="1">
        <v>6.8669599999999999E-4</v>
      </c>
      <c r="L11" s="1">
        <v>3.5503918379999999</v>
      </c>
      <c r="M11" s="1">
        <v>15.47488184</v>
      </c>
      <c r="N11" s="1">
        <f t="shared" si="0"/>
        <v>27809430738.277901</v>
      </c>
      <c r="O11" s="1">
        <f>B11/$A$17</f>
        <v>161.17750000000001</v>
      </c>
      <c r="P11" s="1">
        <v>-1.93411E-4</v>
      </c>
      <c r="Q11" s="1">
        <v>-0.52379892500000003</v>
      </c>
      <c r="R11" s="1">
        <v>-0.27487444100000002</v>
      </c>
      <c r="S11" s="1">
        <v>-0.52379892500000003</v>
      </c>
      <c r="T11" s="1">
        <v>-0.2265826</v>
      </c>
      <c r="U11" s="1">
        <v>1.8199999999999999E-17</v>
      </c>
      <c r="V11" s="1">
        <v>2.3051228874631099E-15</v>
      </c>
      <c r="W11" s="1">
        <v>2.6E-14</v>
      </c>
      <c r="X11" s="1">
        <v>7.2000000000000002E-5</v>
      </c>
      <c r="Y11" s="1">
        <v>1.255833E-3</v>
      </c>
      <c r="Z11" s="1">
        <v>6.4930086019999997</v>
      </c>
      <c r="AA11" s="1">
        <v>17.442060080000001</v>
      </c>
      <c r="AB11" s="1">
        <f t="shared" si="1"/>
        <v>7687385755.689393</v>
      </c>
      <c r="AC11" s="11">
        <f t="shared" si="2"/>
        <v>161.17583333333334</v>
      </c>
      <c r="AD11" s="2" t="s">
        <v>29</v>
      </c>
      <c r="AF11" s="1"/>
      <c r="AG11" s="1"/>
      <c r="AH11" s="1"/>
      <c r="AJ11" s="1"/>
      <c r="AK11" s="1"/>
    </row>
    <row r="12" spans="1:37" x14ac:dyDescent="0.25">
      <c r="A12" s="5">
        <v>9</v>
      </c>
      <c r="B12" s="6">
        <v>2.0150300000000001E-4</v>
      </c>
      <c r="C12" s="6">
        <v>0.68720423100000005</v>
      </c>
      <c r="D12" s="6">
        <v>0.18949948</v>
      </c>
      <c r="E12" s="6">
        <v>0.68720423100000005</v>
      </c>
      <c r="F12" s="6">
        <v>0.35240730100000001</v>
      </c>
      <c r="G12" s="6">
        <v>1.35E-19</v>
      </c>
      <c r="H12" s="6">
        <v>3.3430590842130902E-16</v>
      </c>
      <c r="I12" s="6">
        <v>3.9300000000000004E-15</v>
      </c>
      <c r="J12" s="6">
        <v>4.5599999999999997E-5</v>
      </c>
      <c r="K12" s="6">
        <v>6.9424500000000002E-4</v>
      </c>
      <c r="L12" s="6">
        <v>3.4453109980000001</v>
      </c>
      <c r="M12" s="6">
        <v>15.229542560000001</v>
      </c>
      <c r="N12" s="6">
        <f t="shared" si="0"/>
        <v>28115145920.313709</v>
      </c>
      <c r="O12" s="6">
        <f>B12/$A$17</f>
        <v>167.91916666666668</v>
      </c>
      <c r="P12" s="6">
        <v>-2.0150100000000001E-4</v>
      </c>
      <c r="Q12" s="6">
        <v>-0.51279576900000001</v>
      </c>
      <c r="R12" s="6">
        <v>-0.27482606199999998</v>
      </c>
      <c r="S12" s="6">
        <v>-0.51279576900000001</v>
      </c>
      <c r="T12" s="6">
        <v>-0.21832837099999999</v>
      </c>
      <c r="U12" s="6">
        <v>2.1800000000000001E-17</v>
      </c>
      <c r="V12" s="6">
        <v>2.59016837919651E-15</v>
      </c>
      <c r="W12" s="6">
        <v>2.9099999999999997E-14</v>
      </c>
      <c r="X12" s="6">
        <v>7.6500000000000003E-5</v>
      </c>
      <c r="Y12" s="6">
        <v>1.3635030000000001E-3</v>
      </c>
      <c r="Z12" s="6">
        <v>6.7666539649999997</v>
      </c>
      <c r="AA12" s="6">
        <v>17.819845789999999</v>
      </c>
      <c r="AB12" s="6">
        <f t="shared" si="1"/>
        <v>7457327916.5164461</v>
      </c>
      <c r="AC12" s="8">
        <f t="shared" si="2"/>
        <v>167.91750000000002</v>
      </c>
      <c r="AD12" s="2" t="s">
        <v>30</v>
      </c>
      <c r="AF12" s="1"/>
      <c r="AG12" s="1"/>
      <c r="AH12" s="1"/>
      <c r="AJ12" s="1"/>
      <c r="AK12" s="1"/>
    </row>
    <row r="13" spans="1:37" x14ac:dyDescent="0.25">
      <c r="A13">
        <v>10</v>
      </c>
      <c r="B13" s="1">
        <v>2.0870200000000001E-4</v>
      </c>
      <c r="C13" s="1">
        <v>0.69688915299999998</v>
      </c>
      <c r="D13" s="1">
        <v>0.189572037</v>
      </c>
      <c r="E13" s="1">
        <v>0.69688915299999998</v>
      </c>
      <c r="F13" s="1">
        <v>0.359317477</v>
      </c>
      <c r="G13" s="1">
        <v>1.8000000000000001E-19</v>
      </c>
      <c r="H13" s="1">
        <v>3.3441010462959098E-16</v>
      </c>
      <c r="I13" s="1">
        <v>3.9400000000000001E-15</v>
      </c>
      <c r="J13" s="1">
        <v>4.6600000000000001E-5</v>
      </c>
      <c r="K13" s="1">
        <v>7.0072299999999999E-4</v>
      </c>
      <c r="L13" s="1">
        <v>3.3574983280000001</v>
      </c>
      <c r="M13" s="1">
        <v>15.02224142</v>
      </c>
      <c r="N13" s="1">
        <f t="shared" si="0"/>
        <v>28305464260.959942</v>
      </c>
      <c r="O13" s="1">
        <f>B13/$A$17</f>
        <v>173.91833333333335</v>
      </c>
      <c r="P13" s="1">
        <v>-2.087E-4</v>
      </c>
      <c r="Q13" s="1">
        <v>-0.50311084699999997</v>
      </c>
      <c r="R13" s="1">
        <v>-0.27478101199999999</v>
      </c>
      <c r="S13" s="1">
        <v>-0.50311084699999997</v>
      </c>
      <c r="T13" s="1">
        <v>-0.211097224</v>
      </c>
      <c r="U13" s="1">
        <v>2.5500000000000001E-17</v>
      </c>
      <c r="V13" s="1">
        <v>2.8748009363059098E-15</v>
      </c>
      <c r="W13" s="1">
        <v>3.2099999999999997E-14</v>
      </c>
      <c r="X13" s="1">
        <v>8.0699999999999996E-5</v>
      </c>
      <c r="Y13" s="1">
        <v>1.465671E-3</v>
      </c>
      <c r="Z13" s="1">
        <v>7.0227611359999997</v>
      </c>
      <c r="AA13" s="1">
        <v>18.165642340000002</v>
      </c>
      <c r="AB13" s="1">
        <f t="shared" si="1"/>
        <v>7266940330.1072073</v>
      </c>
      <c r="AC13" s="11">
        <f t="shared" si="2"/>
        <v>173.91666666666669</v>
      </c>
      <c r="AD13" s="2" t="s">
        <v>31</v>
      </c>
      <c r="AF13" s="1"/>
      <c r="AG13" s="1"/>
      <c r="AH13" s="1"/>
      <c r="AJ13" s="1"/>
      <c r="AK13" s="1"/>
    </row>
    <row r="14" spans="1:37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44</v>
      </c>
      <c r="Z14" s="2" t="s">
        <v>16</v>
      </c>
      <c r="AA14" s="2" t="s">
        <v>17</v>
      </c>
      <c r="AB14" s="2" t="s">
        <v>18</v>
      </c>
      <c r="AC14" s="2" t="s">
        <v>19</v>
      </c>
      <c r="AD14" s="2"/>
      <c r="AE14" s="4"/>
      <c r="AF14" s="2"/>
      <c r="AG14" s="2"/>
      <c r="AH14" s="2"/>
    </row>
    <row r="15" spans="1:37" x14ac:dyDescent="0.25">
      <c r="A15" s="3"/>
    </row>
    <row r="16" spans="1:37" x14ac:dyDescent="0.25">
      <c r="A16" s="3" t="s">
        <v>13</v>
      </c>
      <c r="B16" s="3" t="s">
        <v>14</v>
      </c>
      <c r="C16" s="3" t="s">
        <v>15</v>
      </c>
    </row>
    <row r="17" spans="1:3" x14ac:dyDescent="0.25">
      <c r="A17" s="4">
        <v>1.1999999999999999E-6</v>
      </c>
      <c r="B17" s="4">
        <v>2.3999999999999998E-7</v>
      </c>
      <c r="C17" s="2">
        <f>A17/B17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E0CA-0BB8-49B0-A22E-61915E4E059C}">
  <dimension ref="A1:AK17"/>
  <sheetViews>
    <sheetView zoomScale="85" zoomScaleNormal="85" workbookViewId="0">
      <selection activeCell="O2" sqref="O2:O13"/>
    </sheetView>
  </sheetViews>
  <sheetFormatPr defaultRowHeight="15" x14ac:dyDescent="0.25"/>
  <cols>
    <col min="1" max="1" width="9" customWidth="1"/>
    <col min="2" max="2" width="8.5703125" customWidth="1"/>
    <col min="3" max="4" width="8.7109375" customWidth="1"/>
    <col min="5" max="6" width="8.85546875" customWidth="1"/>
    <col min="7" max="8" width="8.42578125" customWidth="1"/>
    <col min="20" max="20" width="9" bestFit="1" customWidth="1"/>
    <col min="21" max="21" width="8.7109375" customWidth="1"/>
    <col min="22" max="22" width="8.5703125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45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10</v>
      </c>
      <c r="N1" s="3" t="s">
        <v>12</v>
      </c>
      <c r="O1" s="3" t="s">
        <v>46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45</v>
      </c>
      <c r="W1" s="3" t="s">
        <v>7</v>
      </c>
      <c r="X1" s="3" t="s">
        <v>8</v>
      </c>
      <c r="Y1" s="3" t="s">
        <v>9</v>
      </c>
      <c r="Z1" s="3" t="s">
        <v>11</v>
      </c>
      <c r="AA1" s="3" t="s">
        <v>10</v>
      </c>
      <c r="AB1" s="3" t="s">
        <v>12</v>
      </c>
      <c r="AC1" s="3" t="s">
        <v>46</v>
      </c>
    </row>
    <row r="2" spans="1:37" x14ac:dyDescent="0.25">
      <c r="A2" s="5">
        <v>1</v>
      </c>
      <c r="B2" s="6">
        <v>5.63E-5</v>
      </c>
      <c r="C2" s="6">
        <v>0.47103857599999999</v>
      </c>
      <c r="D2" s="6">
        <v>0.167193324</v>
      </c>
      <c r="E2" s="6">
        <v>0.47103857599999999</v>
      </c>
      <c r="F2" s="6">
        <v>0.207670568</v>
      </c>
      <c r="G2" s="6">
        <v>1.96E-18</v>
      </c>
      <c r="H2" s="6">
        <v>3.4131837689024798E-16</v>
      </c>
      <c r="I2" s="6">
        <v>4.7200000000000002E-15</v>
      </c>
      <c r="J2" s="6">
        <v>1.8E-5</v>
      </c>
      <c r="K2" s="6">
        <v>4.14029E-4</v>
      </c>
      <c r="L2" s="6">
        <v>7.3494555400000001</v>
      </c>
      <c r="M2" s="6">
        <v>23.060221720000001</v>
      </c>
      <c r="N2" s="6">
        <f t="shared" ref="N2:N13" si="0">K2/(2*PI()*I2)</f>
        <v>13960754646.905579</v>
      </c>
      <c r="O2" s="6">
        <f>B2/$A$17</f>
        <v>46.916666666666671</v>
      </c>
      <c r="P2" s="6">
        <v>-5.63E-5</v>
      </c>
      <c r="Q2" s="6">
        <v>-0.72896142399999997</v>
      </c>
      <c r="R2" s="6">
        <v>-0.26412517400000002</v>
      </c>
      <c r="S2" s="6">
        <v>-0.72896142399999997</v>
      </c>
      <c r="T2" s="6">
        <v>-0.39629183200000001</v>
      </c>
      <c r="U2" s="6">
        <v>5.1199999999999995E-19</v>
      </c>
      <c r="V2" s="6">
        <v>3.0409173613529998E-16</v>
      </c>
      <c r="W2" s="6">
        <v>4.4400000000000004E-15</v>
      </c>
      <c r="X2" s="6">
        <v>1.4800000000000001E-5</v>
      </c>
      <c r="Y2" s="6">
        <v>1.95832E-4</v>
      </c>
      <c r="Z2" s="6">
        <v>3.4767188619999998</v>
      </c>
      <c r="AA2" s="6">
        <v>13.276515079999999</v>
      </c>
      <c r="AB2" s="6">
        <f t="shared" ref="AB2:AB13" si="1">Y2/(2*PI()*W2)</f>
        <v>7019736670.1738844</v>
      </c>
      <c r="AC2" s="6">
        <f>ABS(P2)/$A$17</f>
        <v>46.916666666666671</v>
      </c>
      <c r="AD2" s="2" t="s">
        <v>20</v>
      </c>
      <c r="AF2" s="1"/>
      <c r="AG2" s="1"/>
      <c r="AH2" s="1"/>
      <c r="AJ2" s="1"/>
      <c r="AK2" s="1"/>
    </row>
    <row r="3" spans="1:37" x14ac:dyDescent="0.25">
      <c r="A3">
        <v>2</v>
      </c>
      <c r="B3" s="1">
        <v>8.6899999999999998E-5</v>
      </c>
      <c r="C3" s="1">
        <v>0.53591113499999998</v>
      </c>
      <c r="D3" s="1">
        <v>0.16768529099999999</v>
      </c>
      <c r="E3" s="1">
        <v>0.53591113499999998</v>
      </c>
      <c r="F3" s="1">
        <v>0.25717801200000001</v>
      </c>
      <c r="G3" s="1">
        <v>8.6599999999999996E-19</v>
      </c>
      <c r="H3" s="1">
        <v>3.4260516221935898E-16</v>
      </c>
      <c r="I3" s="1">
        <v>4.8399999999999998E-15</v>
      </c>
      <c r="J3" s="1">
        <v>2.44E-5</v>
      </c>
      <c r="K3" s="1">
        <v>4.84031E-4</v>
      </c>
      <c r="L3" s="1">
        <v>5.5672407909999997</v>
      </c>
      <c r="M3" s="1">
        <v>19.81066221</v>
      </c>
      <c r="N3" s="1">
        <f t="shared" si="0"/>
        <v>15916513690.02339</v>
      </c>
      <c r="O3" s="10">
        <f t="shared" ref="O3:O13" si="2">B3/$A$17</f>
        <v>72.416666666666671</v>
      </c>
      <c r="P3" s="1">
        <v>-8.6899999999999998E-5</v>
      </c>
      <c r="Q3" s="1">
        <v>-0.66408886499999997</v>
      </c>
      <c r="R3" s="1">
        <v>-0.26292937799999999</v>
      </c>
      <c r="S3" s="1">
        <v>-0.66408886499999997</v>
      </c>
      <c r="T3" s="1">
        <v>-0.34383739099999999</v>
      </c>
      <c r="U3" s="1">
        <v>2.0700000000000002E-18</v>
      </c>
      <c r="V3" s="1">
        <v>6.0444836378013004E-16</v>
      </c>
      <c r="W3" s="1">
        <v>8.7500000000000006E-15</v>
      </c>
      <c r="X3" s="1">
        <v>2.4700000000000001E-5</v>
      </c>
      <c r="Y3" s="1">
        <v>3.54552E-4</v>
      </c>
      <c r="Z3" s="1">
        <v>4.0780824579999999</v>
      </c>
      <c r="AA3" s="1">
        <v>14.38002487</v>
      </c>
      <c r="AB3" s="1">
        <f t="shared" si="1"/>
        <v>6448994672.3563061</v>
      </c>
      <c r="AC3" s="1">
        <f t="shared" ref="AC3:AC13" si="3">ABS(P3)/$A$17</f>
        <v>72.416666666666671</v>
      </c>
      <c r="AD3" s="2" t="s">
        <v>21</v>
      </c>
      <c r="AF3" s="1"/>
      <c r="AG3" s="1"/>
      <c r="AH3" s="1"/>
      <c r="AJ3" s="1"/>
      <c r="AK3" s="1"/>
    </row>
    <row r="4" spans="1:37" x14ac:dyDescent="0.25">
      <c r="A4" s="5">
        <v>2.625</v>
      </c>
      <c r="B4" s="6">
        <v>1.01095576361256E-4</v>
      </c>
      <c r="C4" s="6">
        <v>0.56302688803127499</v>
      </c>
      <c r="D4" s="6">
        <v>0.16789336296613599</v>
      </c>
      <c r="E4" s="6">
        <v>0.56302688803127499</v>
      </c>
      <c r="F4" s="6">
        <v>0.27766775623325402</v>
      </c>
      <c r="G4" s="6">
        <v>5.1900094758246302E-19</v>
      </c>
      <c r="H4" s="6">
        <v>3.4306541094942201E-16</v>
      </c>
      <c r="I4" s="6">
        <v>4.8812662877828003E-15</v>
      </c>
      <c r="J4" s="6">
        <v>2.7154306246860398E-5</v>
      </c>
      <c r="K4" s="6">
        <v>5.0818739125116602E-4</v>
      </c>
      <c r="L4" s="6">
        <v>5.0267487253301297</v>
      </c>
      <c r="M4" s="6">
        <v>18.714799289336302</v>
      </c>
      <c r="N4" s="6">
        <f t="shared" si="0"/>
        <v>16569580630.549076</v>
      </c>
      <c r="O4" s="6">
        <f t="shared" si="2"/>
        <v>84.246313634380002</v>
      </c>
      <c r="P4" s="6">
        <v>-1.01093674874127E-4</v>
      </c>
      <c r="Q4" s="6">
        <v>-0.63697311196872397</v>
      </c>
      <c r="R4" s="6">
        <v>-0.26263671008877898</v>
      </c>
      <c r="S4" s="6">
        <v>-0.63697311196872397</v>
      </c>
      <c r="T4" s="6">
        <v>-0.32237694798906802</v>
      </c>
      <c r="U4" s="6">
        <v>3.4349653019898901E-18</v>
      </c>
      <c r="V4" s="6">
        <v>7.91470377686874E-16</v>
      </c>
      <c r="W4" s="6">
        <v>1.13949763113915E-14</v>
      </c>
      <c r="X4" s="6">
        <v>2.9741025348881501E-5</v>
      </c>
      <c r="Y4" s="6">
        <v>4.43667096404691E-4</v>
      </c>
      <c r="Z4" s="6">
        <v>4.3885918836796298</v>
      </c>
      <c r="AA4" s="6">
        <v>14.9176799118452</v>
      </c>
      <c r="AB4" s="6">
        <f t="shared" si="1"/>
        <v>6196749299.9037457</v>
      </c>
      <c r="AC4" s="6">
        <f t="shared" si="3"/>
        <v>84.244729061772503</v>
      </c>
      <c r="AD4" s="2" t="s">
        <v>22</v>
      </c>
      <c r="AF4" s="1"/>
      <c r="AG4" s="1"/>
      <c r="AH4" s="1"/>
      <c r="AJ4" s="1"/>
      <c r="AK4" s="1"/>
    </row>
    <row r="5" spans="1:37" x14ac:dyDescent="0.25">
      <c r="A5">
        <v>3</v>
      </c>
      <c r="B5" s="1">
        <v>1.08409E-4</v>
      </c>
      <c r="C5" s="1">
        <v>0.57653115799999999</v>
      </c>
      <c r="D5" s="1">
        <v>0.16799752200000001</v>
      </c>
      <c r="E5" s="1">
        <v>0.57653115799999999</v>
      </c>
      <c r="F5" s="1">
        <v>0.28783962899999999</v>
      </c>
      <c r="G5" s="1">
        <v>3.6600000000000002E-19</v>
      </c>
      <c r="H5" s="1">
        <v>3.4328263319696102E-16</v>
      </c>
      <c r="I5" s="1">
        <v>4.8999999999999999E-15</v>
      </c>
      <c r="J5" s="1">
        <v>2.8500000000000002E-5</v>
      </c>
      <c r="K5" s="1">
        <v>5.1942600000000002E-4</v>
      </c>
      <c r="L5" s="1">
        <v>4.7913142180000001</v>
      </c>
      <c r="M5" s="1">
        <v>18.22211974</v>
      </c>
      <c r="N5" s="1">
        <f t="shared" si="0"/>
        <v>16871268463.357313</v>
      </c>
      <c r="O5" s="10">
        <f t="shared" si="2"/>
        <v>90.340833333333336</v>
      </c>
      <c r="P5" s="1">
        <v>-1.0840699999999999E-4</v>
      </c>
      <c r="Q5" s="1">
        <v>-0.62346884199999997</v>
      </c>
      <c r="R5" s="1">
        <v>-0.26251308099999998</v>
      </c>
      <c r="S5" s="1">
        <v>-0.62346884199999997</v>
      </c>
      <c r="T5" s="1">
        <v>-0.31176820799999999</v>
      </c>
      <c r="U5" s="1">
        <v>4.3699999999999999E-18</v>
      </c>
      <c r="V5" s="1">
        <v>9.0347019036102794E-16</v>
      </c>
      <c r="W5" s="1">
        <v>1.3E-14</v>
      </c>
      <c r="X5" s="1">
        <v>3.2499999999999997E-5</v>
      </c>
      <c r="Y5" s="1">
        <v>4.9427300000000004E-4</v>
      </c>
      <c r="Z5" s="1">
        <v>4.559344147</v>
      </c>
      <c r="AA5" s="1">
        <v>15.20706874</v>
      </c>
      <c r="AB5" s="1">
        <f t="shared" si="1"/>
        <v>6051230091.2969532</v>
      </c>
      <c r="AC5" s="1">
        <f t="shared" si="3"/>
        <v>90.339166666666671</v>
      </c>
      <c r="AD5" s="2" t="s">
        <v>23</v>
      </c>
      <c r="AF5" s="1"/>
      <c r="AG5" s="1"/>
      <c r="AH5" s="1"/>
      <c r="AJ5" s="1"/>
      <c r="AK5" s="1"/>
    </row>
    <row r="6" spans="1:37" x14ac:dyDescent="0.25">
      <c r="A6" s="5">
        <v>3.625</v>
      </c>
      <c r="B6" s="6">
        <v>1.19116387938711E-4</v>
      </c>
      <c r="C6" s="6">
        <v>0.59577364158227597</v>
      </c>
      <c r="D6" s="6">
        <v>0.16814655388064401</v>
      </c>
      <c r="E6" s="6">
        <v>0.59577364158227597</v>
      </c>
      <c r="F6" s="6">
        <v>0.30231041745642701</v>
      </c>
      <c r="G6" s="6">
        <v>1.6879444686706399E-19</v>
      </c>
      <c r="H6" s="6">
        <v>3.4358075243904902E-16</v>
      </c>
      <c r="I6" s="6">
        <v>4.9216684687786497E-15</v>
      </c>
      <c r="J6" s="6">
        <v>3.04226436383187E-5</v>
      </c>
      <c r="K6" s="6">
        <v>5.3468922850858898E-4</v>
      </c>
      <c r="L6" s="6">
        <v>4.4887479613750401</v>
      </c>
      <c r="M6" s="6">
        <v>17.575370334848898</v>
      </c>
      <c r="N6" s="6">
        <f t="shared" si="0"/>
        <v>17290566049.901314</v>
      </c>
      <c r="O6" s="6">
        <f t="shared" si="2"/>
        <v>99.263656615592495</v>
      </c>
      <c r="P6" s="6">
        <v>-1.1911435473364E-4</v>
      </c>
      <c r="Q6" s="6">
        <v>-0.60422635841772299</v>
      </c>
      <c r="R6" s="6">
        <v>-0.26235277960157999</v>
      </c>
      <c r="S6" s="6">
        <v>-0.60422635841772299</v>
      </c>
      <c r="T6" s="6">
        <v>-0.29673377704412701</v>
      </c>
      <c r="U6" s="6">
        <v>6.1123842603977402E-18</v>
      </c>
      <c r="V6" s="6">
        <v>1.08982227798058E-15</v>
      </c>
      <c r="W6" s="6">
        <v>1.5573145309123699E-14</v>
      </c>
      <c r="X6" s="6">
        <v>3.6720889524297198E-5</v>
      </c>
      <c r="Y6" s="6">
        <v>5.7458650356436304E-4</v>
      </c>
      <c r="Z6" s="6">
        <v>4.8237336703353497</v>
      </c>
      <c r="AA6" s="6">
        <v>15.647401547399101</v>
      </c>
      <c r="AB6" s="6">
        <f t="shared" si="1"/>
        <v>5872178064.2848902</v>
      </c>
      <c r="AC6" s="6">
        <f t="shared" si="3"/>
        <v>99.261962278033337</v>
      </c>
      <c r="AD6" s="2" t="s">
        <v>24</v>
      </c>
      <c r="AF6" s="1"/>
      <c r="AG6" s="1"/>
      <c r="AH6" s="1"/>
      <c r="AJ6" s="1"/>
      <c r="AK6" s="1"/>
    </row>
    <row r="7" spans="1:37" x14ac:dyDescent="0.25">
      <c r="A7">
        <v>4</v>
      </c>
      <c r="B7" s="1">
        <v>1.2482199999999999E-4</v>
      </c>
      <c r="C7" s="1">
        <v>0.605794889</v>
      </c>
      <c r="D7" s="1">
        <v>0.168224453</v>
      </c>
      <c r="E7" s="1">
        <v>0.605794889</v>
      </c>
      <c r="F7" s="1">
        <v>0.30984092099999999</v>
      </c>
      <c r="G7" s="1">
        <v>7.47E-20</v>
      </c>
      <c r="H7" s="1">
        <v>3.4373135899044502E-16</v>
      </c>
      <c r="I7" s="1">
        <v>4.93E-15</v>
      </c>
      <c r="J7" s="1">
        <v>3.1399999999999998E-5</v>
      </c>
      <c r="K7" s="1">
        <v>5.4233000000000005E-4</v>
      </c>
      <c r="L7" s="1">
        <v>4.3447990929999998</v>
      </c>
      <c r="M7" s="1">
        <v>17.262256619999999</v>
      </c>
      <c r="N7" s="1">
        <f t="shared" si="0"/>
        <v>17508012228.606007</v>
      </c>
      <c r="O7" s="10">
        <f t="shared" si="2"/>
        <v>104.01833333333333</v>
      </c>
      <c r="P7" s="1">
        <v>-1.2481999999999999E-4</v>
      </c>
      <c r="Q7" s="1">
        <v>-0.59420511099999995</v>
      </c>
      <c r="R7" s="1">
        <v>-0.26227437999999997</v>
      </c>
      <c r="S7" s="1">
        <v>-0.59420511099999995</v>
      </c>
      <c r="T7" s="1">
        <v>-0.288940382</v>
      </c>
      <c r="U7" s="1">
        <v>7.2500000000000007E-18</v>
      </c>
      <c r="V7" s="1">
        <v>1.20146114656257E-15</v>
      </c>
      <c r="W7" s="1">
        <v>1.7100000000000001E-14</v>
      </c>
      <c r="X7" s="1">
        <v>3.9100000000000002E-5</v>
      </c>
      <c r="Y7" s="1">
        <v>6.2064200000000003E-4</v>
      </c>
      <c r="Z7" s="1">
        <v>4.9722227700000001</v>
      </c>
      <c r="AA7" s="1">
        <v>15.89081915</v>
      </c>
      <c r="AB7" s="1">
        <f t="shared" si="1"/>
        <v>5776505391.253808</v>
      </c>
      <c r="AC7" s="1">
        <f t="shared" si="3"/>
        <v>104.01666666666667</v>
      </c>
      <c r="AD7" s="2" t="s">
        <v>25</v>
      </c>
      <c r="AF7" s="1"/>
      <c r="AG7" s="1"/>
      <c r="AH7" s="1"/>
      <c r="AJ7" s="1"/>
      <c r="AK7" s="1"/>
    </row>
    <row r="8" spans="1:37" x14ac:dyDescent="0.25">
      <c r="A8" s="5">
        <v>5</v>
      </c>
      <c r="B8" s="6">
        <v>1.3802000000000001E-4</v>
      </c>
      <c r="C8" s="6">
        <v>0.62843035300000005</v>
      </c>
      <c r="D8" s="6">
        <v>0.16840112500000001</v>
      </c>
      <c r="E8" s="6">
        <v>0.62843035300000005</v>
      </c>
      <c r="F8" s="6">
        <v>0.32685236600000001</v>
      </c>
      <c r="G8" s="6">
        <v>1.1799999999999999E-19</v>
      </c>
      <c r="H8" s="6">
        <v>3.44061522025249E-16</v>
      </c>
      <c r="I8" s="6">
        <v>4.9600000000000001E-15</v>
      </c>
      <c r="J8" s="6">
        <v>3.3699999999999999E-5</v>
      </c>
      <c r="K8" s="6">
        <v>5.58915E-4</v>
      </c>
      <c r="L8" s="6">
        <v>4.0494800629999999</v>
      </c>
      <c r="M8" s="6">
        <v>16.608622069999999</v>
      </c>
      <c r="N8" s="6">
        <f t="shared" si="0"/>
        <v>17934291334.315861</v>
      </c>
      <c r="O8" s="6">
        <f t="shared" si="2"/>
        <v>115.01666666666668</v>
      </c>
      <c r="P8" s="6">
        <v>-1.3801800000000001E-4</v>
      </c>
      <c r="Q8" s="6">
        <v>-0.57156964700000001</v>
      </c>
      <c r="R8" s="6">
        <v>-0.26210491800000002</v>
      </c>
      <c r="S8" s="6">
        <v>-0.57156964700000001</v>
      </c>
      <c r="T8" s="6">
        <v>-0.271425792</v>
      </c>
      <c r="U8" s="6">
        <v>1.0600000000000001E-17</v>
      </c>
      <c r="V8" s="6">
        <v>1.49859925741189E-15</v>
      </c>
      <c r="W8" s="6">
        <v>2.1200000000000001E-14</v>
      </c>
      <c r="X8" s="6">
        <v>4.4700000000000002E-5</v>
      </c>
      <c r="Y8" s="6">
        <v>7.3679400000000003E-4</v>
      </c>
      <c r="Z8" s="6">
        <v>5.3382991290000001</v>
      </c>
      <c r="AA8" s="6">
        <v>16.47956422</v>
      </c>
      <c r="AB8" s="6">
        <f t="shared" si="1"/>
        <v>5531339959.4551859</v>
      </c>
      <c r="AC8" s="6">
        <f t="shared" si="3"/>
        <v>115.01500000000001</v>
      </c>
      <c r="AD8" s="2" t="s">
        <v>26</v>
      </c>
      <c r="AF8" s="1"/>
      <c r="AG8" s="1"/>
      <c r="AH8" s="1"/>
      <c r="AJ8" s="1"/>
      <c r="AK8" s="1"/>
    </row>
    <row r="9" spans="1:37" x14ac:dyDescent="0.25">
      <c r="A9">
        <v>6</v>
      </c>
      <c r="B9" s="1">
        <v>1.4899800000000001E-4</v>
      </c>
      <c r="C9" s="1">
        <v>0.64673473999999997</v>
      </c>
      <c r="D9" s="1">
        <v>0.16854472000000001</v>
      </c>
      <c r="E9" s="1">
        <v>0.64673473999999997</v>
      </c>
      <c r="F9" s="1">
        <v>0.34062714900000002</v>
      </c>
      <c r="G9" s="1">
        <v>2.5599999999999998E-19</v>
      </c>
      <c r="H9" s="1">
        <v>3.44319772453159E-16</v>
      </c>
      <c r="I9" s="1">
        <v>4.9699999999999999E-15</v>
      </c>
      <c r="J9" s="1">
        <v>3.54E-5</v>
      </c>
      <c r="K9" s="1">
        <v>5.7171800000000003E-4</v>
      </c>
      <c r="L9" s="1">
        <v>3.8370382940000001</v>
      </c>
      <c r="M9" s="1">
        <v>16.12856536</v>
      </c>
      <c r="N9" s="1">
        <f t="shared" si="0"/>
        <v>18308198340.968254</v>
      </c>
      <c r="O9" s="10">
        <f t="shared" si="2"/>
        <v>124.16500000000002</v>
      </c>
      <c r="P9" s="1">
        <v>-1.4899600000000001E-4</v>
      </c>
      <c r="Q9" s="1">
        <v>-0.55326525999999998</v>
      </c>
      <c r="R9" s="1">
        <v>-0.26197190199999998</v>
      </c>
      <c r="S9" s="1">
        <v>-0.55326525999999998</v>
      </c>
      <c r="T9" s="1">
        <v>-0.25735269700000002</v>
      </c>
      <c r="U9" s="1">
        <v>1.44E-17</v>
      </c>
      <c r="V9" s="1">
        <v>1.7950018054051501E-15</v>
      </c>
      <c r="W9" s="1">
        <v>2.53E-14</v>
      </c>
      <c r="X9" s="1">
        <v>4.9700000000000002E-5</v>
      </c>
      <c r="Y9" s="1">
        <v>8.44735E-4</v>
      </c>
      <c r="Z9" s="1">
        <v>5.6694096009999999</v>
      </c>
      <c r="AA9" s="1">
        <v>16.99855561</v>
      </c>
      <c r="AB9" s="1">
        <f t="shared" si="1"/>
        <v>5313982247.1435661</v>
      </c>
      <c r="AC9" s="1">
        <f t="shared" si="3"/>
        <v>124.16333333333334</v>
      </c>
      <c r="AD9" s="2" t="s">
        <v>27</v>
      </c>
      <c r="AF9" s="1"/>
      <c r="AG9" s="1"/>
      <c r="AH9" s="1"/>
      <c r="AJ9" s="1"/>
      <c r="AK9" s="1"/>
    </row>
    <row r="10" spans="1:37" x14ac:dyDescent="0.25">
      <c r="A10" s="5">
        <v>7</v>
      </c>
      <c r="B10" s="6">
        <v>1.58355E-4</v>
      </c>
      <c r="C10" s="6">
        <v>0.66200037599999995</v>
      </c>
      <c r="D10" s="6">
        <v>0.168664972</v>
      </c>
      <c r="E10" s="6">
        <v>0.66200037599999995</v>
      </c>
      <c r="F10" s="6">
        <v>0.35213982100000002</v>
      </c>
      <c r="G10" s="6">
        <v>3.5899999999999998E-19</v>
      </c>
      <c r="H10" s="6">
        <v>3.4453007887994199E-16</v>
      </c>
      <c r="I10" s="6">
        <v>4.9900000000000002E-15</v>
      </c>
      <c r="J10" s="6">
        <v>3.6900000000000002E-5</v>
      </c>
      <c r="K10" s="6">
        <v>5.8202099999999995E-4</v>
      </c>
      <c r="L10" s="6">
        <v>3.6753782949999998</v>
      </c>
      <c r="M10" s="6">
        <v>15.75727461</v>
      </c>
      <c r="N10" s="6">
        <f t="shared" si="0"/>
        <v>18563430688.033672</v>
      </c>
      <c r="O10" s="6">
        <f t="shared" si="2"/>
        <v>131.96250000000001</v>
      </c>
      <c r="P10" s="6">
        <v>-1.5835299999999999E-4</v>
      </c>
      <c r="Q10" s="6">
        <v>-0.53799962400000001</v>
      </c>
      <c r="R10" s="6">
        <v>-0.26186169199999998</v>
      </c>
      <c r="S10" s="6">
        <v>-0.53799962400000001</v>
      </c>
      <c r="T10" s="6">
        <v>-0.24568026200000001</v>
      </c>
      <c r="U10" s="6">
        <v>1.8400000000000001E-17</v>
      </c>
      <c r="V10" s="6">
        <v>2.0907532426322799E-15</v>
      </c>
      <c r="W10" s="6">
        <v>2.9299999999999999E-14</v>
      </c>
      <c r="X10" s="6">
        <v>5.4200000000000003E-5</v>
      </c>
      <c r="Y10" s="6">
        <v>9.4585399999999999E-4</v>
      </c>
      <c r="Z10" s="6">
        <v>5.9729783520000002</v>
      </c>
      <c r="AA10" s="6">
        <v>17.46328965</v>
      </c>
      <c r="AB10" s="6">
        <f t="shared" si="1"/>
        <v>5137793158.4724092</v>
      </c>
      <c r="AC10" s="6">
        <f t="shared" si="3"/>
        <v>131.96083333333334</v>
      </c>
      <c r="AD10" s="2" t="s">
        <v>28</v>
      </c>
      <c r="AF10" s="1"/>
      <c r="AG10" s="1"/>
      <c r="AH10" s="1"/>
      <c r="AJ10" s="1"/>
      <c r="AK10" s="1"/>
    </row>
    <row r="11" spans="1:37" x14ac:dyDescent="0.25">
      <c r="A11">
        <v>8</v>
      </c>
      <c r="B11" s="1">
        <v>1.66479E-4</v>
      </c>
      <c r="C11" s="1">
        <v>0.67502535299999999</v>
      </c>
      <c r="D11" s="1">
        <v>0.16876793100000001</v>
      </c>
      <c r="E11" s="1">
        <v>0.67502535299999999</v>
      </c>
      <c r="F11" s="1">
        <v>0.36198744900000002</v>
      </c>
      <c r="G11" s="1">
        <v>4.41E-19</v>
      </c>
      <c r="H11" s="1">
        <v>3.4470632319542201E-16</v>
      </c>
      <c r="I11" s="1">
        <v>5E-15</v>
      </c>
      <c r="J11" s="1">
        <v>3.82E-5</v>
      </c>
      <c r="K11" s="1">
        <v>5.9055900000000005E-4</v>
      </c>
      <c r="L11" s="1">
        <v>3.547316173</v>
      </c>
      <c r="M11" s="1">
        <v>15.459154440000001</v>
      </c>
      <c r="N11" s="1">
        <f t="shared" si="0"/>
        <v>18798076807.481323</v>
      </c>
      <c r="O11" s="10">
        <f t="shared" si="2"/>
        <v>138.73250000000002</v>
      </c>
      <c r="P11" s="1">
        <v>-1.6647600000000001E-4</v>
      </c>
      <c r="Q11" s="1">
        <v>-0.52497464699999996</v>
      </c>
      <c r="R11" s="1">
        <v>-0.26176733299999999</v>
      </c>
      <c r="S11" s="1">
        <v>-0.52497464699999996</v>
      </c>
      <c r="T11" s="1">
        <v>-0.23577055699999999</v>
      </c>
      <c r="U11" s="1">
        <v>2.2799999999999999E-17</v>
      </c>
      <c r="V11" s="1">
        <v>2.38591815087061E-15</v>
      </c>
      <c r="W11" s="1">
        <v>3.32E-14</v>
      </c>
      <c r="X11" s="1">
        <v>5.8199999999999998E-5</v>
      </c>
      <c r="Y11" s="1">
        <v>1.0411730000000001E-3</v>
      </c>
      <c r="Z11" s="1">
        <v>6.254063135</v>
      </c>
      <c r="AA11" s="1">
        <v>17.884197459999999</v>
      </c>
      <c r="AB11" s="1">
        <f t="shared" si="1"/>
        <v>4991199685.6571674</v>
      </c>
      <c r="AC11" s="1">
        <f t="shared" si="3"/>
        <v>138.73000000000002</v>
      </c>
      <c r="AD11" s="2" t="s">
        <v>29</v>
      </c>
      <c r="AF11" s="1"/>
      <c r="AG11" s="1"/>
      <c r="AH11" s="1"/>
      <c r="AJ11" s="1"/>
      <c r="AK11" s="1"/>
    </row>
    <row r="12" spans="1:37" x14ac:dyDescent="0.25">
      <c r="A12" s="5">
        <v>9</v>
      </c>
      <c r="B12" s="6">
        <v>1.7363599999999999E-4</v>
      </c>
      <c r="C12" s="6">
        <v>0.686335955</v>
      </c>
      <c r="D12" s="6">
        <v>0.16885760399999999</v>
      </c>
      <c r="E12" s="6">
        <v>0.686335955</v>
      </c>
      <c r="F12" s="6">
        <v>0.37056171900000001</v>
      </c>
      <c r="G12" s="6">
        <v>5.0600000000000004E-19</v>
      </c>
      <c r="H12" s="6">
        <v>3.44857232764736E-16</v>
      </c>
      <c r="I12" s="6">
        <v>5.0099999999999998E-15</v>
      </c>
      <c r="J12" s="6">
        <v>3.93E-5</v>
      </c>
      <c r="K12" s="6">
        <v>5.9779400000000002E-4</v>
      </c>
      <c r="L12" s="6">
        <v>3.4427667230000001</v>
      </c>
      <c r="M12" s="6">
        <v>15.21292818</v>
      </c>
      <c r="N12" s="6">
        <f t="shared" si="0"/>
        <v>18990393223.68792</v>
      </c>
      <c r="O12" s="6">
        <f t="shared" si="2"/>
        <v>144.69666666666666</v>
      </c>
      <c r="P12" s="6">
        <v>-1.73633E-4</v>
      </c>
      <c r="Q12" s="6">
        <v>-0.51366404499999996</v>
      </c>
      <c r="R12" s="6">
        <v>-0.26168475699999999</v>
      </c>
      <c r="S12" s="6">
        <v>-0.51366404499999996</v>
      </c>
      <c r="T12" s="6">
        <v>-0.227205136</v>
      </c>
      <c r="U12" s="6">
        <v>2.75E-17</v>
      </c>
      <c r="V12" s="6">
        <v>2.6805480367642402E-15</v>
      </c>
      <c r="W12" s="6">
        <v>3.7100000000000001E-14</v>
      </c>
      <c r="X12" s="6">
        <v>6.19E-5</v>
      </c>
      <c r="Y12" s="6">
        <v>1.131469E-3</v>
      </c>
      <c r="Z12" s="6">
        <v>6.5163104919999997</v>
      </c>
      <c r="AA12" s="6">
        <v>18.268742360000001</v>
      </c>
      <c r="AB12" s="6">
        <f t="shared" si="1"/>
        <v>4853878283.1602077</v>
      </c>
      <c r="AC12" s="6">
        <f t="shared" si="3"/>
        <v>144.69416666666666</v>
      </c>
      <c r="AD12" s="2" t="s">
        <v>30</v>
      </c>
      <c r="AF12" s="1"/>
      <c r="AG12" s="1"/>
      <c r="AH12" s="1"/>
      <c r="AJ12" s="1"/>
      <c r="AK12" s="1"/>
    </row>
    <row r="13" spans="1:37" x14ac:dyDescent="0.25">
      <c r="A13">
        <v>10</v>
      </c>
      <c r="B13" s="1">
        <v>1.8001599999999999E-4</v>
      </c>
      <c r="C13" s="1">
        <v>0.696296684</v>
      </c>
      <c r="D13" s="1">
        <v>0.16893678000000001</v>
      </c>
      <c r="E13" s="1">
        <v>0.696296684</v>
      </c>
      <c r="F13" s="1">
        <v>0.37813302199999999</v>
      </c>
      <c r="G13" s="1">
        <v>5.6000000000000001E-19</v>
      </c>
      <c r="H13" s="1">
        <v>3.4498863336278902E-16</v>
      </c>
      <c r="I13" s="1">
        <v>5.0099999999999998E-15</v>
      </c>
      <c r="J13" s="1">
        <v>4.0299999999999997E-5</v>
      </c>
      <c r="K13" s="1">
        <v>6.0402999999999997E-4</v>
      </c>
      <c r="L13" s="1">
        <v>3.3553927579999998</v>
      </c>
      <c r="M13" s="1">
        <v>15.005036049999999</v>
      </c>
      <c r="N13" s="1">
        <f t="shared" si="0"/>
        <v>19188495065.029449</v>
      </c>
      <c r="O13" s="10">
        <f t="shared" si="2"/>
        <v>150.01333333333332</v>
      </c>
      <c r="P13" s="1">
        <v>-1.80013E-4</v>
      </c>
      <c r="Q13" s="1">
        <v>-0.50370331599999996</v>
      </c>
      <c r="R13" s="1">
        <v>-0.26161135000000002</v>
      </c>
      <c r="S13" s="1">
        <v>-0.50370331599999996</v>
      </c>
      <c r="T13" s="1">
        <v>-0.219695312</v>
      </c>
      <c r="U13" s="1">
        <v>3.2300000000000002E-17</v>
      </c>
      <c r="V13" s="1">
        <v>2.9746852509897501E-15</v>
      </c>
      <c r="W13" s="1">
        <v>4.1000000000000002E-14</v>
      </c>
      <c r="X13" s="1">
        <v>6.5400000000000004E-5</v>
      </c>
      <c r="Y13" s="1">
        <v>1.217355E-3</v>
      </c>
      <c r="Z13" s="1">
        <v>6.7624611799999998</v>
      </c>
      <c r="AA13" s="1">
        <v>18.622502529999998</v>
      </c>
      <c r="AB13" s="1">
        <f t="shared" si="1"/>
        <v>4725562579.2105913</v>
      </c>
      <c r="AC13" s="1">
        <f t="shared" si="3"/>
        <v>150.01083333333335</v>
      </c>
      <c r="AD13" s="2" t="s">
        <v>31</v>
      </c>
      <c r="AF13" s="1"/>
      <c r="AG13" s="1"/>
      <c r="AH13" s="1"/>
      <c r="AJ13" s="1"/>
      <c r="AK13" s="1"/>
    </row>
    <row r="14" spans="1:37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44</v>
      </c>
      <c r="Z14" s="2" t="s">
        <v>16</v>
      </c>
      <c r="AA14" s="2" t="s">
        <v>17</v>
      </c>
      <c r="AB14" s="2" t="s">
        <v>18</v>
      </c>
      <c r="AC14" s="2" t="s">
        <v>19</v>
      </c>
      <c r="AE14" s="4"/>
      <c r="AF14" s="2"/>
      <c r="AG14" s="2"/>
      <c r="AH14" s="2"/>
    </row>
    <row r="15" spans="1:37" x14ac:dyDescent="0.25">
      <c r="A15" s="3"/>
      <c r="C15" s="4"/>
    </row>
    <row r="16" spans="1:37" x14ac:dyDescent="0.25">
      <c r="A16" s="3" t="s">
        <v>13</v>
      </c>
      <c r="B16" s="3" t="s">
        <v>14</v>
      </c>
      <c r="C16" s="3" t="s">
        <v>15</v>
      </c>
    </row>
    <row r="17" spans="1:3" x14ac:dyDescent="0.25">
      <c r="A17" s="1">
        <v>1.1999999999999999E-6</v>
      </c>
      <c r="B17" s="1">
        <v>2.9999999999999999E-7</v>
      </c>
      <c r="C17" s="2">
        <f>A17/B17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04C3-8A44-49F8-B6BB-3D0C86B933D7}">
  <dimension ref="A1:AK17"/>
  <sheetViews>
    <sheetView tabSelected="1" zoomScale="85" zoomScaleNormal="85" workbookViewId="0">
      <selection activeCell="O2" sqref="O2:O13"/>
    </sheetView>
  </sheetViews>
  <sheetFormatPr defaultRowHeight="15" x14ac:dyDescent="0.25"/>
  <cols>
    <col min="1" max="1" width="8.28515625" customWidth="1"/>
    <col min="2" max="2" width="9" customWidth="1"/>
    <col min="3" max="3" width="8.5703125" customWidth="1"/>
    <col min="4" max="4" width="8.7109375" customWidth="1"/>
    <col min="5" max="5" width="8.42578125" customWidth="1"/>
    <col min="6" max="6" width="8.7109375" customWidth="1"/>
    <col min="7" max="7" width="9" customWidth="1"/>
    <col min="8" max="8" width="8.42578125" customWidth="1"/>
    <col min="20" max="20" width="8.85546875" customWidth="1"/>
    <col min="21" max="21" width="8.28515625" customWidth="1"/>
    <col min="22" max="22" width="8.7109375" customWidth="1"/>
  </cols>
  <sheetData>
    <row r="1" spans="1:3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45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10</v>
      </c>
      <c r="N1" s="3" t="s">
        <v>12</v>
      </c>
      <c r="O1" s="3" t="s">
        <v>46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45</v>
      </c>
      <c r="W1" s="3" t="s">
        <v>7</v>
      </c>
      <c r="X1" s="3" t="s">
        <v>8</v>
      </c>
      <c r="Y1" s="3" t="s">
        <v>9</v>
      </c>
      <c r="Z1" s="3" t="s">
        <v>11</v>
      </c>
      <c r="AA1" s="3" t="s">
        <v>10</v>
      </c>
      <c r="AB1" s="3" t="s">
        <v>12</v>
      </c>
      <c r="AC1" s="3" t="s">
        <v>46</v>
      </c>
    </row>
    <row r="2" spans="1:37" x14ac:dyDescent="0.25">
      <c r="A2" s="5">
        <v>1</v>
      </c>
      <c r="B2" s="6">
        <v>3.1900000000000003E-5</v>
      </c>
      <c r="C2" s="6">
        <v>0.459233118</v>
      </c>
      <c r="D2" s="6">
        <v>0.118642468</v>
      </c>
      <c r="E2" s="6">
        <v>0.459233118</v>
      </c>
      <c r="F2" s="6">
        <v>0.223604793</v>
      </c>
      <c r="G2" s="6">
        <v>1.1800000000000001E-18</v>
      </c>
      <c r="H2" s="6">
        <v>3.9010105532603998E-16</v>
      </c>
      <c r="I2" s="6">
        <v>9.8400000000000005E-15</v>
      </c>
      <c r="J2" s="6">
        <v>1.01E-5</v>
      </c>
      <c r="K2" s="6">
        <v>2.2897600000000001E-4</v>
      </c>
      <c r="L2" s="6">
        <v>7.1735083739999999</v>
      </c>
      <c r="M2" s="6">
        <v>22.69204482</v>
      </c>
      <c r="N2" s="6">
        <f t="shared" ref="N2:N13" si="0">K2/(2*PI()*I2)</f>
        <v>3703522586.3221369</v>
      </c>
      <c r="O2" s="6">
        <f>B2/$A$17</f>
        <v>26.583333333333336</v>
      </c>
      <c r="P2" s="6">
        <v>-3.1900000000000003E-5</v>
      </c>
      <c r="Q2" s="6">
        <v>-0.74076688199999996</v>
      </c>
      <c r="R2" s="6">
        <v>-0.234369836</v>
      </c>
      <c r="S2" s="6">
        <v>-0.74076688199999996</v>
      </c>
      <c r="T2" s="6">
        <v>-0.42924485400000001</v>
      </c>
      <c r="U2" s="6">
        <v>2.8499999999999998E-19</v>
      </c>
      <c r="V2" s="6">
        <v>3.5644526503460601E-16</v>
      </c>
      <c r="W2" s="6">
        <v>9.1500000000000008E-15</v>
      </c>
      <c r="X2" s="6">
        <v>6.5899999999999996E-6</v>
      </c>
      <c r="Y2" s="6">
        <v>1.06369E-4</v>
      </c>
      <c r="Z2" s="6">
        <v>3.3330922630000002</v>
      </c>
      <c r="AA2" s="6">
        <v>16.152954650000002</v>
      </c>
      <c r="AB2" s="6">
        <f t="shared" ref="AB2:AB13" si="1">Y2/(2*PI()*W2)</f>
        <v>1850180561.9389961</v>
      </c>
      <c r="AC2" s="6">
        <f>ABS(P2)/$A$17</f>
        <v>26.583333333333336</v>
      </c>
      <c r="AD2" s="2" t="s">
        <v>20</v>
      </c>
      <c r="AF2" s="1"/>
      <c r="AG2" s="1"/>
      <c r="AH2" s="1"/>
      <c r="AJ2" s="1"/>
      <c r="AK2" s="1"/>
    </row>
    <row r="3" spans="1:37" x14ac:dyDescent="0.25">
      <c r="A3">
        <v>2</v>
      </c>
      <c r="B3" s="1">
        <v>4.9599999999999999E-5</v>
      </c>
      <c r="C3" s="1">
        <v>0.526520502</v>
      </c>
      <c r="D3" s="1">
        <v>0.119180908</v>
      </c>
      <c r="E3" s="1">
        <v>0.526520502</v>
      </c>
      <c r="F3" s="1">
        <v>0.279096866</v>
      </c>
      <c r="G3" s="1">
        <v>8.8200000000000001E-19</v>
      </c>
      <c r="H3" s="1">
        <v>3.9204450065921002E-16</v>
      </c>
      <c r="I3" s="1">
        <v>1.0099999999999999E-14</v>
      </c>
      <c r="J3" s="1">
        <v>1.3900000000000001E-5</v>
      </c>
      <c r="K3" s="1">
        <v>2.7236699999999998E-4</v>
      </c>
      <c r="L3" s="1">
        <v>5.4862011810000002</v>
      </c>
      <c r="M3" s="1">
        <v>19.576088909999999</v>
      </c>
      <c r="N3" s="1">
        <f t="shared" si="0"/>
        <v>4291936077.7336893</v>
      </c>
      <c r="O3" s="10">
        <f t="shared" ref="O3:O13" si="2">B3/$A$17</f>
        <v>41.333333333333336</v>
      </c>
      <c r="P3" s="1">
        <v>-4.9599999999999999E-5</v>
      </c>
      <c r="Q3" s="1">
        <v>-0.67347949799999995</v>
      </c>
      <c r="R3" s="1">
        <v>-0.232110606</v>
      </c>
      <c r="S3" s="1">
        <v>-0.67347949799999995</v>
      </c>
      <c r="T3" s="1">
        <v>-0.37285662000000003</v>
      </c>
      <c r="U3" s="1">
        <v>2.7099999999999998E-18</v>
      </c>
      <c r="V3" s="1">
        <v>7.0803191641240204E-16</v>
      </c>
      <c r="W3" s="1">
        <v>1.81E-14</v>
      </c>
      <c r="X3" s="1">
        <v>1.11E-5</v>
      </c>
      <c r="Y3" s="1">
        <v>1.91256E-4</v>
      </c>
      <c r="Z3" s="1">
        <v>3.8526333240000001</v>
      </c>
      <c r="AA3" s="1">
        <v>17.211064650000001</v>
      </c>
      <c r="AB3" s="1">
        <f t="shared" si="1"/>
        <v>1681731369.9438419</v>
      </c>
      <c r="AC3" s="1">
        <f t="shared" ref="AC3:AC13" si="3">ABS(P3)/$A$17</f>
        <v>41.333333333333336</v>
      </c>
      <c r="AD3" s="2" t="s">
        <v>21</v>
      </c>
      <c r="AF3" s="1"/>
      <c r="AG3" s="1"/>
      <c r="AH3" s="1"/>
      <c r="AJ3" s="1"/>
      <c r="AK3" s="1"/>
    </row>
    <row r="4" spans="1:37" x14ac:dyDescent="0.25">
      <c r="A4" s="5">
        <v>2.625</v>
      </c>
      <c r="B4" s="6">
        <v>5.79861836786217E-5</v>
      </c>
      <c r="C4" s="6">
        <v>0.55479541295972101</v>
      </c>
      <c r="D4" s="6">
        <v>0.119409785202628</v>
      </c>
      <c r="E4" s="6">
        <v>0.55479541295972101</v>
      </c>
      <c r="F4" s="6">
        <v>0.30251078311394303</v>
      </c>
      <c r="G4" s="6">
        <v>1.50106624851788E-18</v>
      </c>
      <c r="H4" s="6">
        <v>3.92768682780809E-16</v>
      </c>
      <c r="I4" s="6">
        <v>1.01350905801219E-14</v>
      </c>
      <c r="J4" s="6">
        <v>1.5555282377103101E-5</v>
      </c>
      <c r="K4" s="6">
        <v>2.88176028916037E-4</v>
      </c>
      <c r="L4" s="6">
        <v>4.9695362119152104</v>
      </c>
      <c r="M4" s="6">
        <v>18.5259272014389</v>
      </c>
      <c r="N4" s="6">
        <f t="shared" si="0"/>
        <v>4525330989.3978882</v>
      </c>
      <c r="O4" s="6">
        <f t="shared" si="2"/>
        <v>48.32181973218475</v>
      </c>
      <c r="P4" s="6">
        <v>-5.7982143797754E-5</v>
      </c>
      <c r="Q4" s="6">
        <v>-0.64520458704027805</v>
      </c>
      <c r="R4" s="6">
        <v>-0.23146026049518301</v>
      </c>
      <c r="S4" s="6">
        <v>-0.64520458704027805</v>
      </c>
      <c r="T4" s="6">
        <v>-0.34981319739528299</v>
      </c>
      <c r="U4" s="6">
        <v>5.0661153138638202E-18</v>
      </c>
      <c r="V4" s="6">
        <v>9.2660030600389695E-16</v>
      </c>
      <c r="W4" s="6">
        <v>2.3584009417449101E-14</v>
      </c>
      <c r="X4" s="6">
        <v>1.3481659725587301E-5</v>
      </c>
      <c r="Y4" s="6">
        <v>2.38962454666373E-4</v>
      </c>
      <c r="Z4" s="6">
        <v>4.1210252934579996</v>
      </c>
      <c r="AA4" s="6">
        <v>17.725002672544601</v>
      </c>
      <c r="AB4" s="6">
        <f t="shared" si="1"/>
        <v>1612620449.743691</v>
      </c>
      <c r="AC4" s="6">
        <f t="shared" si="3"/>
        <v>48.318453164795002</v>
      </c>
      <c r="AD4" s="2" t="s">
        <v>22</v>
      </c>
      <c r="AF4" s="1"/>
      <c r="AG4" s="1"/>
      <c r="AH4" s="1"/>
      <c r="AJ4" s="1"/>
      <c r="AK4" s="1"/>
    </row>
    <row r="5" spans="1:37" x14ac:dyDescent="0.25">
      <c r="A5">
        <v>3</v>
      </c>
      <c r="B5" s="1">
        <v>6.2299999999999996E-5</v>
      </c>
      <c r="C5" s="1">
        <v>0.56891732699999997</v>
      </c>
      <c r="D5" s="1">
        <v>0.119524677</v>
      </c>
      <c r="E5" s="1">
        <v>0.56891732699999997</v>
      </c>
      <c r="F5" s="1">
        <v>0.31424233400000001</v>
      </c>
      <c r="G5" s="1">
        <v>1.7699999999999998E-18</v>
      </c>
      <c r="H5" s="1">
        <v>3.9311756400243101E-16</v>
      </c>
      <c r="I5" s="1">
        <v>1.02E-14</v>
      </c>
      <c r="J5" s="1">
        <v>1.6399999999999999E-5</v>
      </c>
      <c r="K5" s="1">
        <v>2.9570600000000002E-4</v>
      </c>
      <c r="L5" s="1">
        <v>4.7437208430000002</v>
      </c>
      <c r="M5" s="1">
        <v>18.054369789999999</v>
      </c>
      <c r="N5" s="1">
        <f t="shared" si="0"/>
        <v>4614026627.6403923</v>
      </c>
      <c r="O5" s="10">
        <f t="shared" si="2"/>
        <v>51.916666666666664</v>
      </c>
      <c r="P5" s="1">
        <v>-6.2299999999999996E-5</v>
      </c>
      <c r="Q5" s="1">
        <v>-0.63108267299999998</v>
      </c>
      <c r="R5" s="1">
        <v>-0.23117494</v>
      </c>
      <c r="S5" s="1">
        <v>-0.63108267299999998</v>
      </c>
      <c r="T5" s="1">
        <v>-0.33842097199999999</v>
      </c>
      <c r="U5" s="1">
        <v>6.7500000000000003E-18</v>
      </c>
      <c r="V5" s="1">
        <v>1.0573942066903E-15</v>
      </c>
      <c r="W5" s="1">
        <v>2.6900000000000001E-14</v>
      </c>
      <c r="X5" s="1">
        <v>1.4800000000000001E-5</v>
      </c>
      <c r="Y5" s="1">
        <v>2.6609300000000002E-4</v>
      </c>
      <c r="Z5" s="1">
        <v>4.2688310209999996</v>
      </c>
      <c r="AA5" s="1">
        <v>18.001728109999998</v>
      </c>
      <c r="AB5" s="1">
        <f t="shared" si="1"/>
        <v>1574350047.2918851</v>
      </c>
      <c r="AC5" s="1">
        <f t="shared" si="3"/>
        <v>51.916666666666664</v>
      </c>
      <c r="AD5" s="2" t="s">
        <v>23</v>
      </c>
      <c r="AF5" s="1"/>
      <c r="AG5" s="1"/>
      <c r="AH5" s="1"/>
      <c r="AJ5" s="1"/>
      <c r="AK5" s="1"/>
    </row>
    <row r="6" spans="1:37" x14ac:dyDescent="0.25">
      <c r="A6" s="5">
        <v>3.625</v>
      </c>
      <c r="B6" s="6">
        <v>6.8745597854680198E-5</v>
      </c>
      <c r="C6" s="6">
        <v>0.58908943125438995</v>
      </c>
      <c r="D6" s="6">
        <v>0.11968945941721899</v>
      </c>
      <c r="E6" s="6">
        <v>0.58908943125438995</v>
      </c>
      <c r="F6" s="6">
        <v>0.331061176468951</v>
      </c>
      <c r="G6" s="6">
        <v>2.10426060816312E-18</v>
      </c>
      <c r="H6" s="6">
        <v>3.9360453590787102E-16</v>
      </c>
      <c r="I6" s="6">
        <v>1.02124312242735E-14</v>
      </c>
      <c r="J6" s="6">
        <v>1.7556933654361098E-5</v>
      </c>
      <c r="K6" s="6">
        <v>3.0612475229433898E-4</v>
      </c>
      <c r="L6" s="6">
        <v>4.4528237919482097</v>
      </c>
      <c r="M6" s="6">
        <v>17.436117167208</v>
      </c>
      <c r="N6" s="6">
        <f t="shared" si="0"/>
        <v>4770780479.2479324</v>
      </c>
      <c r="O6" s="6">
        <f t="shared" si="2"/>
        <v>57.287998212233504</v>
      </c>
      <c r="P6" s="6">
        <v>-6.8741334466630998E-5</v>
      </c>
      <c r="Q6" s="6">
        <v>-0.61091056874560901</v>
      </c>
      <c r="R6" s="6">
        <v>-0.230801898844614</v>
      </c>
      <c r="S6" s="6">
        <v>-0.61091056874560901</v>
      </c>
      <c r="T6" s="6">
        <v>-0.32227044239150199</v>
      </c>
      <c r="U6" s="6">
        <v>9.9761822583901604E-18</v>
      </c>
      <c r="V6" s="6">
        <v>1.27487661469363E-15</v>
      </c>
      <c r="W6" s="6">
        <v>3.2275942390352099E-14</v>
      </c>
      <c r="X6" s="6">
        <v>1.6784586762121801E-5</v>
      </c>
      <c r="Y6" s="6">
        <v>3.0922644927580201E-4</v>
      </c>
      <c r="Z6" s="6">
        <v>4.4980990588375098</v>
      </c>
      <c r="AA6" s="6">
        <v>18.4232387522128</v>
      </c>
      <c r="AB6" s="6">
        <f t="shared" si="1"/>
        <v>1524817380.7532392</v>
      </c>
      <c r="AC6" s="6">
        <f t="shared" si="3"/>
        <v>57.284445388859169</v>
      </c>
      <c r="AD6" s="2" t="s">
        <v>24</v>
      </c>
      <c r="AF6" s="1"/>
      <c r="AG6" s="1"/>
      <c r="AH6" s="1"/>
      <c r="AJ6" s="1"/>
      <c r="AK6" s="1"/>
    </row>
    <row r="7" spans="1:37" x14ac:dyDescent="0.25">
      <c r="A7">
        <v>4</v>
      </c>
      <c r="B7" s="1">
        <v>7.2200000000000007E-5</v>
      </c>
      <c r="C7" s="1">
        <v>0.599618926</v>
      </c>
      <c r="D7" s="1">
        <v>0.119775785</v>
      </c>
      <c r="E7" s="1">
        <v>0.599618926</v>
      </c>
      <c r="F7" s="1">
        <v>0.339875555</v>
      </c>
      <c r="G7" s="1">
        <v>2.2599999999999999E-18</v>
      </c>
      <c r="H7" s="1">
        <v>3.9385433342729701E-16</v>
      </c>
      <c r="I7" s="1">
        <v>1.02E-14</v>
      </c>
      <c r="J7" s="1">
        <v>1.8199999999999999E-5</v>
      </c>
      <c r="K7" s="1">
        <v>3.1142700000000003E-4</v>
      </c>
      <c r="L7" s="1">
        <v>4.3141436090000003</v>
      </c>
      <c r="M7" s="1">
        <v>17.13715856</v>
      </c>
      <c r="N7" s="1">
        <f t="shared" si="0"/>
        <v>4859328084.5372248</v>
      </c>
      <c r="O7" s="10">
        <f t="shared" si="2"/>
        <v>60.166666666666679</v>
      </c>
      <c r="P7" s="1">
        <v>-7.2200000000000007E-5</v>
      </c>
      <c r="Q7" s="1">
        <v>-0.60038107399999996</v>
      </c>
      <c r="R7" s="1">
        <v>-0.23062054800000001</v>
      </c>
      <c r="S7" s="1">
        <v>-0.60038107399999996</v>
      </c>
      <c r="T7" s="1">
        <v>-0.31389405599999998</v>
      </c>
      <c r="U7" s="1">
        <v>1.21E-17</v>
      </c>
      <c r="V7" s="1">
        <v>1.40508835221484E-15</v>
      </c>
      <c r="W7" s="1">
        <v>3.55E-14</v>
      </c>
      <c r="X7" s="1">
        <v>1.7900000000000001E-5</v>
      </c>
      <c r="Y7" s="1">
        <v>3.3400900000000002E-4</v>
      </c>
      <c r="Z7" s="1">
        <v>4.6271228530000004</v>
      </c>
      <c r="AA7" s="1">
        <v>18.656600659999999</v>
      </c>
      <c r="AB7" s="1">
        <f t="shared" si="1"/>
        <v>1497441785.5543909</v>
      </c>
      <c r="AC7" s="1">
        <f t="shared" si="3"/>
        <v>60.166666666666679</v>
      </c>
      <c r="AD7" s="2" t="s">
        <v>25</v>
      </c>
      <c r="AF7" s="1"/>
      <c r="AG7" s="1"/>
      <c r="AH7" s="1"/>
      <c r="AJ7" s="1"/>
      <c r="AK7" s="1"/>
    </row>
    <row r="8" spans="1:37" x14ac:dyDescent="0.25">
      <c r="A8" s="5">
        <v>5</v>
      </c>
      <c r="B8" s="6">
        <v>8.0199999999999998E-5</v>
      </c>
      <c r="C8" s="6">
        <v>0.62346518500000003</v>
      </c>
      <c r="D8" s="6">
        <v>0.119972078</v>
      </c>
      <c r="E8" s="6">
        <v>0.62346518500000003</v>
      </c>
      <c r="F8" s="6">
        <v>0.35994830500000002</v>
      </c>
      <c r="G8" s="6">
        <v>2.5800000000000001E-18</v>
      </c>
      <c r="H8" s="6">
        <v>3.9441124535910601E-16</v>
      </c>
      <c r="I8" s="6">
        <v>1.0299999999999999E-14</v>
      </c>
      <c r="J8" s="6">
        <v>1.9599999999999999E-5</v>
      </c>
      <c r="K8" s="6">
        <v>3.2314099999999999E-4</v>
      </c>
      <c r="L8" s="6">
        <v>4.0290381369999997</v>
      </c>
      <c r="M8" s="6">
        <v>16.513899800000001</v>
      </c>
      <c r="N8" s="6">
        <f t="shared" si="0"/>
        <v>4993154122.8794327</v>
      </c>
      <c r="O8" s="6">
        <f t="shared" si="2"/>
        <v>66.833333333333329</v>
      </c>
      <c r="P8" s="6">
        <v>-8.0199999999999998E-5</v>
      </c>
      <c r="Q8" s="6">
        <v>-0.57653481500000003</v>
      </c>
      <c r="R8" s="6">
        <v>-0.230237208</v>
      </c>
      <c r="S8" s="6">
        <v>-0.57653481500000003</v>
      </c>
      <c r="T8" s="6">
        <v>-0.29505320600000001</v>
      </c>
      <c r="U8" s="6">
        <v>1.86E-17</v>
      </c>
      <c r="V8" s="6">
        <v>1.75140846257384E-15</v>
      </c>
      <c r="W8" s="6">
        <v>4.4100000000000003E-14</v>
      </c>
      <c r="X8" s="6">
        <v>2.0599999999999999E-5</v>
      </c>
      <c r="Y8" s="6">
        <v>3.9668400000000001E-4</v>
      </c>
      <c r="Z8" s="6">
        <v>4.9461592400000001</v>
      </c>
      <c r="AA8" s="6">
        <v>19.222483700000002</v>
      </c>
      <c r="AB8" s="6">
        <f t="shared" si="1"/>
        <v>1431614953.4119139</v>
      </c>
      <c r="AC8" s="6">
        <f t="shared" si="3"/>
        <v>66.833333333333329</v>
      </c>
      <c r="AD8" s="2" t="s">
        <v>26</v>
      </c>
      <c r="AF8" s="1"/>
      <c r="AG8" s="1"/>
      <c r="AH8" s="1"/>
      <c r="AJ8" s="1"/>
      <c r="AK8" s="1"/>
    </row>
    <row r="9" spans="1:37" x14ac:dyDescent="0.25">
      <c r="A9">
        <v>6</v>
      </c>
      <c r="B9" s="1">
        <v>8.6899999999999998E-5</v>
      </c>
      <c r="C9" s="1">
        <v>0.64281358899999996</v>
      </c>
      <c r="D9" s="1">
        <v>0.12013215100000001</v>
      </c>
      <c r="E9" s="1">
        <v>0.64281358899999996</v>
      </c>
      <c r="F9" s="1">
        <v>0.37636972400000002</v>
      </c>
      <c r="G9" s="1">
        <v>2.7900000000000002E-18</v>
      </c>
      <c r="H9" s="1">
        <v>3.9485601895302001E-16</v>
      </c>
      <c r="I9" s="1">
        <v>1.0299999999999999E-14</v>
      </c>
      <c r="J9" s="1">
        <v>2.0699999999999998E-5</v>
      </c>
      <c r="K9" s="1">
        <v>3.3238300000000001E-4</v>
      </c>
      <c r="L9" s="1">
        <v>3.8234221719999999</v>
      </c>
      <c r="M9" s="1">
        <v>16.056857130000001</v>
      </c>
      <c r="N9" s="1">
        <f t="shared" si="0"/>
        <v>5135960917.4479084</v>
      </c>
      <c r="O9" s="10">
        <f t="shared" si="2"/>
        <v>72.416666666666671</v>
      </c>
      <c r="P9" s="1">
        <v>-8.6899999999999998E-5</v>
      </c>
      <c r="Q9" s="1">
        <v>-0.55718641099999999</v>
      </c>
      <c r="R9" s="1">
        <v>-0.22994909199999999</v>
      </c>
      <c r="S9" s="1">
        <v>-0.55718641099999999</v>
      </c>
      <c r="T9" s="1">
        <v>-0.27989323199999999</v>
      </c>
      <c r="U9" s="1">
        <v>2.6100000000000001E-17</v>
      </c>
      <c r="V9" s="1">
        <v>2.0965398555272501E-15</v>
      </c>
      <c r="W9" s="1">
        <v>5.2499999999999997E-14</v>
      </c>
      <c r="X9" s="1">
        <v>2.3099999999999999E-5</v>
      </c>
      <c r="Y9" s="1">
        <v>4.5517700000000002E-4</v>
      </c>
      <c r="Z9" s="1">
        <v>5.2360724520000002</v>
      </c>
      <c r="AA9" s="1">
        <v>19.723586340000001</v>
      </c>
      <c r="AB9" s="1">
        <f t="shared" si="1"/>
        <v>1379879419.652184</v>
      </c>
      <c r="AC9" s="1">
        <f t="shared" si="3"/>
        <v>72.416666666666671</v>
      </c>
      <c r="AD9" s="2" t="s">
        <v>27</v>
      </c>
      <c r="AF9" s="1"/>
      <c r="AG9" s="1"/>
      <c r="AH9" s="1"/>
      <c r="AJ9" s="1"/>
      <c r="AK9" s="1"/>
    </row>
    <row r="10" spans="1:37" x14ac:dyDescent="0.25">
      <c r="A10" s="5">
        <v>7</v>
      </c>
      <c r="B10" s="6">
        <v>9.2700000000000004E-5</v>
      </c>
      <c r="C10" s="6">
        <v>0.65899429899999995</v>
      </c>
      <c r="D10" s="6">
        <v>0.12026657</v>
      </c>
      <c r="E10" s="6">
        <v>0.65899429899999995</v>
      </c>
      <c r="F10" s="6">
        <v>0.39021193599999998</v>
      </c>
      <c r="G10" s="6">
        <v>2.9500000000000001E-18</v>
      </c>
      <c r="H10" s="6">
        <v>3.95224259395365E-16</v>
      </c>
      <c r="I10" s="6">
        <v>1.0299999999999999E-14</v>
      </c>
      <c r="J10" s="6">
        <v>2.16E-5</v>
      </c>
      <c r="K10" s="6">
        <v>3.3995199999999997E-4</v>
      </c>
      <c r="L10" s="6">
        <v>3.6666468679999999</v>
      </c>
      <c r="M10" s="6">
        <v>15.7037271</v>
      </c>
      <c r="N10" s="6">
        <f t="shared" si="0"/>
        <v>5252916622.7161169</v>
      </c>
      <c r="O10" s="6">
        <f t="shared" si="2"/>
        <v>77.25</v>
      </c>
      <c r="P10" s="6">
        <v>-9.2700000000000004E-5</v>
      </c>
      <c r="Q10" s="6">
        <v>-0.54100570100000001</v>
      </c>
      <c r="R10" s="6">
        <v>-0.22972096</v>
      </c>
      <c r="S10" s="6">
        <v>-0.54100570100000001</v>
      </c>
      <c r="T10" s="6">
        <v>-0.267301224</v>
      </c>
      <c r="U10" s="6">
        <v>3.4400000000000002E-17</v>
      </c>
      <c r="V10" s="6">
        <v>2.4406128397098699E-15</v>
      </c>
      <c r="W10" s="6">
        <v>6.0899999999999998E-14</v>
      </c>
      <c r="X10" s="6">
        <v>2.5299999999999998E-5</v>
      </c>
      <c r="Y10" s="6">
        <v>5.10211E-4</v>
      </c>
      <c r="Z10" s="6">
        <v>5.5031674920000002</v>
      </c>
      <c r="AA10" s="6">
        <v>20.174627510000001</v>
      </c>
      <c r="AB10" s="6">
        <f t="shared" si="1"/>
        <v>1333376070.1126275</v>
      </c>
      <c r="AC10" s="6">
        <f t="shared" si="3"/>
        <v>77.25</v>
      </c>
      <c r="AD10" s="2" t="s">
        <v>28</v>
      </c>
      <c r="AF10" s="1"/>
      <c r="AG10" s="1"/>
      <c r="AH10" s="1"/>
      <c r="AJ10" s="1"/>
      <c r="AK10" s="1"/>
    </row>
    <row r="11" spans="1:37" x14ac:dyDescent="0.25">
      <c r="A11">
        <v>8</v>
      </c>
      <c r="B11" s="1">
        <v>9.7800000000000006E-5</v>
      </c>
      <c r="C11" s="1">
        <v>0.67283122799999995</v>
      </c>
      <c r="D11" s="1">
        <v>0.120381917</v>
      </c>
      <c r="E11" s="1">
        <v>0.67283122799999995</v>
      </c>
      <c r="F11" s="1">
        <v>0.40213786800000001</v>
      </c>
      <c r="G11" s="1">
        <v>3.0800000000000002E-18</v>
      </c>
      <c r="H11" s="1">
        <v>3.95537035655293E-16</v>
      </c>
      <c r="I11" s="1">
        <v>1.04E-14</v>
      </c>
      <c r="J11" s="1">
        <v>2.2500000000000001E-5</v>
      </c>
      <c r="K11" s="1">
        <v>3.46316E-4</v>
      </c>
      <c r="L11" s="1">
        <v>3.542257153</v>
      </c>
      <c r="M11" s="1">
        <v>15.42036626</v>
      </c>
      <c r="N11" s="1">
        <f t="shared" si="0"/>
        <v>5299798391.5204649</v>
      </c>
      <c r="O11" s="10">
        <f t="shared" si="2"/>
        <v>81.500000000000014</v>
      </c>
      <c r="P11" s="1">
        <v>-9.7800000000000006E-5</v>
      </c>
      <c r="Q11" s="1">
        <v>-0.52716877200000001</v>
      </c>
      <c r="R11" s="1">
        <v>-0.22953376</v>
      </c>
      <c r="S11" s="1">
        <v>-0.52716877200000001</v>
      </c>
      <c r="T11" s="1">
        <v>-0.25659574800000001</v>
      </c>
      <c r="U11" s="1">
        <v>4.3499999999999998E-17</v>
      </c>
      <c r="V11" s="1">
        <v>2.7837258366269198E-15</v>
      </c>
      <c r="W11" s="1">
        <v>6.9199999999999998E-14</v>
      </c>
      <c r="X11" s="1">
        <v>2.73E-5</v>
      </c>
      <c r="Y11" s="1">
        <v>5.6231300000000005E-4</v>
      </c>
      <c r="Z11" s="1">
        <v>5.7517076549999997</v>
      </c>
      <c r="AA11" s="1">
        <v>20.585424440000001</v>
      </c>
      <c r="AB11" s="1">
        <f t="shared" si="1"/>
        <v>1293278808.0178173</v>
      </c>
      <c r="AC11" s="1">
        <f t="shared" si="3"/>
        <v>81.500000000000014</v>
      </c>
      <c r="AD11" s="2" t="s">
        <v>29</v>
      </c>
      <c r="AF11" s="1"/>
      <c r="AG11" s="1"/>
      <c r="AH11" s="1"/>
      <c r="AJ11" s="1"/>
      <c r="AK11" s="1"/>
    </row>
    <row r="12" spans="1:37" x14ac:dyDescent="0.25">
      <c r="A12" s="5">
        <v>9</v>
      </c>
      <c r="B12" s="6">
        <v>1.0223800000000001E-4</v>
      </c>
      <c r="C12" s="6">
        <v>0.68486931399999995</v>
      </c>
      <c r="D12" s="6">
        <v>0.120482568</v>
      </c>
      <c r="E12" s="6">
        <v>0.68486931399999995</v>
      </c>
      <c r="F12" s="6">
        <v>0.41258610699999998</v>
      </c>
      <c r="G12" s="6">
        <v>3.1700000000000001E-18</v>
      </c>
      <c r="H12" s="6">
        <v>3.95807853175459E-16</v>
      </c>
      <c r="I12" s="6">
        <v>1.04E-14</v>
      </c>
      <c r="J12" s="6">
        <v>2.3200000000000001E-5</v>
      </c>
      <c r="K12" s="6">
        <v>3.5177299999999999E-4</v>
      </c>
      <c r="L12" s="6">
        <v>3.4405743360000001</v>
      </c>
      <c r="M12" s="6">
        <v>15.18640939</v>
      </c>
      <c r="N12" s="6">
        <f t="shared" si="0"/>
        <v>5383308826.5639715</v>
      </c>
      <c r="O12" s="6">
        <f t="shared" si="2"/>
        <v>85.198333333333338</v>
      </c>
      <c r="P12" s="6">
        <v>-1.02233E-4</v>
      </c>
      <c r="Q12" s="6">
        <v>-0.515130686</v>
      </c>
      <c r="R12" s="6">
        <v>-0.229376095</v>
      </c>
      <c r="S12" s="6">
        <v>-0.515130686</v>
      </c>
      <c r="T12" s="6">
        <v>-0.24732996900000001</v>
      </c>
      <c r="U12" s="6">
        <v>5.32E-17</v>
      </c>
      <c r="V12" s="6">
        <v>3.12595690428157E-15</v>
      </c>
      <c r="W12" s="6">
        <v>7.7400000000000003E-14</v>
      </c>
      <c r="X12" s="6">
        <v>2.9200000000000002E-5</v>
      </c>
      <c r="Y12" s="6">
        <v>6.1188200000000001E-4</v>
      </c>
      <c r="Z12" s="6">
        <v>5.98474562</v>
      </c>
      <c r="AA12" s="6">
        <v>20.96293927</v>
      </c>
      <c r="AB12" s="6">
        <f t="shared" si="1"/>
        <v>1258191794.4309444</v>
      </c>
      <c r="AC12" s="6">
        <f t="shared" si="3"/>
        <v>85.194166666666661</v>
      </c>
      <c r="AD12" s="2" t="s">
        <v>30</v>
      </c>
      <c r="AF12" s="1"/>
      <c r="AG12" s="1"/>
      <c r="AH12" s="1"/>
      <c r="AJ12" s="1"/>
      <c r="AK12" s="1"/>
    </row>
    <row r="13" spans="1:37" x14ac:dyDescent="0.25">
      <c r="A13">
        <v>10</v>
      </c>
      <c r="B13" s="1">
        <v>1.06246E-4</v>
      </c>
      <c r="C13" s="1">
        <v>0.695487042</v>
      </c>
      <c r="D13" s="1">
        <v>0.120571573</v>
      </c>
      <c r="E13" s="1">
        <v>0.695487042</v>
      </c>
      <c r="F13" s="1">
        <v>0.421861761</v>
      </c>
      <c r="G13" s="1">
        <v>3.25E-18</v>
      </c>
      <c r="H13" s="1">
        <v>3.9604588439850702E-16</v>
      </c>
      <c r="I13" s="1">
        <v>1.04E-14</v>
      </c>
      <c r="J13" s="1">
        <v>2.3799999999999999E-5</v>
      </c>
      <c r="K13" s="1">
        <v>3.56528E-4</v>
      </c>
      <c r="L13" s="1">
        <v>3.3555056890000001</v>
      </c>
      <c r="M13" s="1">
        <v>14.98890331</v>
      </c>
      <c r="N13" s="1">
        <f t="shared" si="0"/>
        <v>5456076302.9487753</v>
      </c>
      <c r="O13" s="10">
        <f t="shared" si="2"/>
        <v>88.538333333333341</v>
      </c>
      <c r="P13" s="1">
        <v>-1.06242E-4</v>
      </c>
      <c r="Q13" s="1">
        <v>-0.50451295799999996</v>
      </c>
      <c r="R13" s="1">
        <v>-0.22924064299999999</v>
      </c>
      <c r="S13" s="1">
        <v>-0.50451295799999996</v>
      </c>
      <c r="T13" s="1">
        <v>-0.239195625</v>
      </c>
      <c r="U13" s="1">
        <v>6.3499999999999996E-17</v>
      </c>
      <c r="V13" s="1">
        <v>3.4673701622288399E-15</v>
      </c>
      <c r="W13" s="1">
        <v>8.5500000000000002E-14</v>
      </c>
      <c r="X13" s="1">
        <v>3.0899999999999999E-5</v>
      </c>
      <c r="Y13" s="1">
        <v>6.59229E-4</v>
      </c>
      <c r="Z13" s="1">
        <v>6.2045606659999999</v>
      </c>
      <c r="AA13" s="1">
        <v>21.312331270000001</v>
      </c>
      <c r="AB13" s="1">
        <f t="shared" si="1"/>
        <v>1227129286.3102582</v>
      </c>
      <c r="AC13" s="1">
        <f t="shared" si="3"/>
        <v>88.535000000000011</v>
      </c>
      <c r="AD13" s="2" t="s">
        <v>31</v>
      </c>
      <c r="AF13" s="1"/>
      <c r="AG13" s="1"/>
      <c r="AH13" s="1"/>
      <c r="AJ13" s="1"/>
      <c r="AK13" s="1"/>
    </row>
    <row r="14" spans="1:37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44</v>
      </c>
      <c r="Z14" s="2" t="s">
        <v>16</v>
      </c>
      <c r="AA14" s="2" t="s">
        <v>17</v>
      </c>
      <c r="AB14" s="2" t="s">
        <v>18</v>
      </c>
      <c r="AC14" s="2" t="s">
        <v>19</v>
      </c>
      <c r="AE14" s="4"/>
      <c r="AF14" s="2"/>
      <c r="AG14" s="2"/>
      <c r="AH14" s="2"/>
    </row>
    <row r="15" spans="1:37" x14ac:dyDescent="0.25">
      <c r="A15" s="3"/>
      <c r="C15" s="4"/>
    </row>
    <row r="16" spans="1:37" x14ac:dyDescent="0.25">
      <c r="A16" s="3" t="s">
        <v>13</v>
      </c>
      <c r="B16" s="3" t="s">
        <v>14</v>
      </c>
      <c r="C16" s="3" t="s">
        <v>15</v>
      </c>
    </row>
    <row r="17" spans="1:3" x14ac:dyDescent="0.25">
      <c r="A17" s="4">
        <v>1.1999999999999999E-6</v>
      </c>
      <c r="B17" s="4">
        <v>5.9999999999999997E-7</v>
      </c>
      <c r="C17" s="2">
        <f>A17/B17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l_60nm</vt:lpstr>
      <vt:lpstr>l_90nm</vt:lpstr>
      <vt:lpstr>l_120nm</vt:lpstr>
      <vt:lpstr>l_240nm</vt:lpstr>
      <vt:lpstr>l_300nm</vt:lpstr>
      <vt:lpstr>l_600nm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jfars 19</dc:creator>
  <cp:lastModifiedBy>jfars 19</cp:lastModifiedBy>
  <dcterms:created xsi:type="dcterms:W3CDTF">2024-05-07T19:00:48Z</dcterms:created>
  <dcterms:modified xsi:type="dcterms:W3CDTF">2024-09-20T16:11:49Z</dcterms:modified>
</cp:coreProperties>
</file>